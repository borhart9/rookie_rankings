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5"/>
    <sheet state="visible" name="2021" sheetId="2" r:id="rId6"/>
    <sheet state="visible" name="2022" sheetId="3" r:id="rId7"/>
    <sheet state="visible" name="Sheet3" sheetId="4" r:id="rId8"/>
    <sheet state="visible" name="2024" sheetId="5" r:id="rId9"/>
    <sheet state="visible" name="2025" sheetId="6" r:id="rId10"/>
    <sheet state="visible" name="2026" sheetId="7" r:id="rId11"/>
    <sheet state="visible" name="Sheet4" sheetId="8" r:id="rId12"/>
  </sheets>
  <definedNames>
    <definedName name="team_conf">#REF!</definedName>
    <definedName name="picks">#REF!</definedName>
    <definedName name="vac_opp">#REF!</definedName>
  </definedNames>
  <calcPr/>
</workbook>
</file>

<file path=xl/sharedStrings.xml><?xml version="1.0" encoding="utf-8"?>
<sst xmlns="http://schemas.openxmlformats.org/spreadsheetml/2006/main" count="936" uniqueCount="425">
  <si>
    <t>Player</t>
  </si>
  <si>
    <t>School</t>
  </si>
  <si>
    <t>Pick_Num</t>
  </si>
  <si>
    <t>Team</t>
  </si>
  <si>
    <t>GP</t>
  </si>
  <si>
    <t>Rec</t>
  </si>
  <si>
    <t>Rec_Yds</t>
  </si>
  <si>
    <t>Rec_Yds_Game</t>
  </si>
  <si>
    <t>YPC</t>
  </si>
  <si>
    <t>Rec_TDs</t>
  </si>
  <si>
    <t>Rush_Att</t>
  </si>
  <si>
    <t>Rush_Yds</t>
  </si>
  <si>
    <t>Rush_YPA</t>
  </si>
  <si>
    <t>Rush_TDs</t>
  </si>
  <si>
    <t>Fumbles</t>
  </si>
  <si>
    <t>Col_FPPG</t>
  </si>
  <si>
    <t>Rec_Percentage</t>
  </si>
  <si>
    <t>TD_Percentage</t>
  </si>
  <si>
    <t>Dominator</t>
  </si>
  <si>
    <t>Vac_Tar</t>
  </si>
  <si>
    <t>Age</t>
  </si>
  <si>
    <t>Height</t>
  </si>
  <si>
    <t>Henry Ruggs</t>
  </si>
  <si>
    <t>Alabama</t>
  </si>
  <si>
    <t>LV</t>
  </si>
  <si>
    <t>Jerry Jeudy</t>
  </si>
  <si>
    <t>DEN</t>
  </si>
  <si>
    <t>CeeDee Lamb</t>
  </si>
  <si>
    <t>Oklahoma</t>
  </si>
  <si>
    <t>DAL</t>
  </si>
  <si>
    <t>Jalen Reagor</t>
  </si>
  <si>
    <t>TCU</t>
  </si>
  <si>
    <t>PHI</t>
  </si>
  <si>
    <t>Justin Jefferson</t>
  </si>
  <si>
    <t>LSU</t>
  </si>
  <si>
    <t>MIN</t>
  </si>
  <si>
    <t>Brandon Aiyuk</t>
  </si>
  <si>
    <t>Arizona State</t>
  </si>
  <si>
    <t>SF</t>
  </si>
  <si>
    <t>Tee Higgins</t>
  </si>
  <si>
    <t>Clemson</t>
  </si>
  <si>
    <t>CIN</t>
  </si>
  <si>
    <t>Michael Pittman Jr.</t>
  </si>
  <si>
    <t>USC</t>
  </si>
  <si>
    <t>IND</t>
  </si>
  <si>
    <t>Laviska Shenault</t>
  </si>
  <si>
    <t>Colorado</t>
  </si>
  <si>
    <t>JAX</t>
  </si>
  <si>
    <t>K.J. Hamler</t>
  </si>
  <si>
    <t>Penn State</t>
  </si>
  <si>
    <t>Chase Claypool</t>
  </si>
  <si>
    <t>Notre Dame</t>
  </si>
  <si>
    <t>PIT</t>
  </si>
  <si>
    <t>Van Jefferson</t>
  </si>
  <si>
    <t>Florida</t>
  </si>
  <si>
    <t>LAR</t>
  </si>
  <si>
    <t>Denzel Mims</t>
  </si>
  <si>
    <t>Baylor</t>
  </si>
  <si>
    <t>NYJ</t>
  </si>
  <si>
    <t>Bryan Edwards</t>
  </si>
  <si>
    <t>South Carolina</t>
  </si>
  <si>
    <t>Devin Duvernay</t>
  </si>
  <si>
    <t>Texas</t>
  </si>
  <si>
    <t>BAL</t>
  </si>
  <si>
    <t>Gabriel Davis</t>
  </si>
  <si>
    <t>UCF</t>
  </si>
  <si>
    <t>BUF</t>
  </si>
  <si>
    <t>Antonio Gandy-Golden</t>
  </si>
  <si>
    <t>Liberty</t>
  </si>
  <si>
    <t>WAS</t>
  </si>
  <si>
    <t>NA</t>
  </si>
  <si>
    <t>Joe Reed</t>
  </si>
  <si>
    <t>Virginia</t>
  </si>
  <si>
    <t>LAC</t>
  </si>
  <si>
    <t>Tyler Johnson</t>
  </si>
  <si>
    <t>Minnesota</t>
  </si>
  <si>
    <t>TB</t>
  </si>
  <si>
    <t>Darnell Mooney</t>
  </si>
  <si>
    <t>Tulane</t>
  </si>
  <si>
    <t>CHI</t>
  </si>
  <si>
    <t>Breakout Age</t>
  </si>
  <si>
    <t>Ja'Marr Chase</t>
  </si>
  <si>
    <t>Jaylen Waddle</t>
  </si>
  <si>
    <t>MIA</t>
  </si>
  <si>
    <t>DeVonta Smith</t>
  </si>
  <si>
    <t>Kadarius Toney</t>
  </si>
  <si>
    <t>NYG</t>
  </si>
  <si>
    <t>Rashod Bateman</t>
  </si>
  <si>
    <t>Elijah Moore</t>
  </si>
  <si>
    <t>Ole Miss</t>
  </si>
  <si>
    <t>Rondale Moore</t>
  </si>
  <si>
    <t>Purdue</t>
  </si>
  <si>
    <t>ARI</t>
  </si>
  <si>
    <t>D'Wayne Eskridge</t>
  </si>
  <si>
    <t>Western Michigan</t>
  </si>
  <si>
    <t>SEA</t>
  </si>
  <si>
    <t>Tutu Atwell</t>
  </si>
  <si>
    <t>Louisville</t>
  </si>
  <si>
    <t>Terrace Marshall</t>
  </si>
  <si>
    <t>CAR</t>
  </si>
  <si>
    <t>Josh Palmer</t>
  </si>
  <si>
    <t>Tennessee</t>
  </si>
  <si>
    <t>Dyami Brown</t>
  </si>
  <si>
    <t>North Carolina</t>
  </si>
  <si>
    <t>Amari Rodgers</t>
  </si>
  <si>
    <t>GB</t>
  </si>
  <si>
    <t>Nico Collins</t>
  </si>
  <si>
    <t>Michigan</t>
  </si>
  <si>
    <t>HOU</t>
  </si>
  <si>
    <t>Anthony Schwartz</t>
  </si>
  <si>
    <t>Auburn</t>
  </si>
  <si>
    <t>CLE</t>
  </si>
  <si>
    <t>Dez Fitzpatrick</t>
  </si>
  <si>
    <t>TEN</t>
  </si>
  <si>
    <t>Amon-Ra St. Brown</t>
  </si>
  <si>
    <t>DET</t>
  </si>
  <si>
    <t>Jaelon Darden</t>
  </si>
  <si>
    <t>North Texas</t>
  </si>
  <si>
    <t>Tylan Wallace</t>
  </si>
  <si>
    <t>Oklahoma State</t>
  </si>
  <si>
    <t>Ihmir Smith-Marsette</t>
  </si>
  <si>
    <t>Iowa</t>
  </si>
  <si>
    <t>Simi Fehoko</t>
  </si>
  <si>
    <t>Stanford</t>
  </si>
  <si>
    <t>Frank Darby</t>
  </si>
  <si>
    <t>ATL</t>
  </si>
  <si>
    <t>Marquez Stevenson</t>
  </si>
  <si>
    <t>Houston</t>
  </si>
  <si>
    <t>Shi Smith</t>
  </si>
  <si>
    <t>Seth Williams</t>
  </si>
  <si>
    <t>Dazz Newsome</t>
  </si>
  <si>
    <t>Dax Milne</t>
  </si>
  <si>
    <t>BYU</t>
  </si>
  <si>
    <t>Drake London</t>
  </si>
  <si>
    <t>Garrett Wilson</t>
  </si>
  <si>
    <t>Ohio State</t>
  </si>
  <si>
    <t>Chris Olave</t>
  </si>
  <si>
    <t>NO</t>
  </si>
  <si>
    <t>Jameson Williams</t>
  </si>
  <si>
    <t>Jahan Dotson</t>
  </si>
  <si>
    <t>Treylon Burks</t>
  </si>
  <si>
    <t>Arkansas</t>
  </si>
  <si>
    <t>Christian Watson</t>
  </si>
  <si>
    <t>North Dakota State</t>
  </si>
  <si>
    <t>Wan'Dale Robinson</t>
  </si>
  <si>
    <t>Kentucky</t>
  </si>
  <si>
    <t>John Metchie</t>
  </si>
  <si>
    <t>Tyquan Thornton</t>
  </si>
  <si>
    <t>NE</t>
  </si>
  <si>
    <t>George Pickens</t>
  </si>
  <si>
    <t>Georgia</t>
  </si>
  <si>
    <t>Alec Pierce</t>
  </si>
  <si>
    <t>Cincinnati</t>
  </si>
  <si>
    <t>Skyy Moore</t>
  </si>
  <si>
    <t>KC</t>
  </si>
  <si>
    <t>Velus Jones</t>
  </si>
  <si>
    <t>Jalen Tolbert</t>
  </si>
  <si>
    <t>South Alabama</t>
  </si>
  <si>
    <t>David Bell</t>
  </si>
  <si>
    <t>Danny Gray</t>
  </si>
  <si>
    <t>SMU</t>
  </si>
  <si>
    <t>Erik Ezukanma</t>
  </si>
  <si>
    <t>Texas Tech</t>
  </si>
  <si>
    <t>Romeo Doubs</t>
  </si>
  <si>
    <t>Nevada</t>
  </si>
  <si>
    <t>Calvin Austin</t>
  </si>
  <si>
    <t>Memphis</t>
  </si>
  <si>
    <t>Khalil Shakir</t>
  </si>
  <si>
    <t>Boise State</t>
  </si>
  <si>
    <t>Montrell Washington</t>
  </si>
  <si>
    <t>Samford</t>
  </si>
  <si>
    <t>Kyle Philips</t>
  </si>
  <si>
    <t>UCLA</t>
  </si>
  <si>
    <t>Jalen Nailor</t>
  </si>
  <si>
    <t>Michigan State</t>
  </si>
  <si>
    <t>Michael Woods II</t>
  </si>
  <si>
    <t>Bo Melton</t>
  </si>
  <si>
    <t>Rutgers</t>
  </si>
  <si>
    <t>Samori Toure</t>
  </si>
  <si>
    <t>Nebraska</t>
  </si>
  <si>
    <t>Justyn Ross</t>
  </si>
  <si>
    <t>Undrafted</t>
  </si>
  <si>
    <t>Charleston Rambo</t>
  </si>
  <si>
    <t>Miami</t>
  </si>
  <si>
    <t>Dontario Drummond</t>
  </si>
  <si>
    <t>Jordyn Tyson</t>
  </si>
  <si>
    <t>Carnell Tate</t>
  </si>
  <si>
    <t>Makai Lemon</t>
  </si>
  <si>
    <t>KC Concepcion</t>
  </si>
  <si>
    <t>Denzel Boston</t>
  </si>
  <si>
    <t>Omar Cooper Jr.</t>
  </si>
  <si>
    <t>Elijah Sarratt</t>
  </si>
  <si>
    <t>Germie Bernard</t>
  </si>
  <si>
    <t>Chris Brazzell II</t>
  </si>
  <si>
    <t>Chris Bell</t>
  </si>
  <si>
    <t>Ja'Kobi Lane</t>
  </si>
  <si>
    <t>Malachi Fields</t>
  </si>
  <si>
    <t>Zachariah Branch</t>
  </si>
  <si>
    <t>Antonio Williams</t>
  </si>
  <si>
    <t>Skyler Bell</t>
  </si>
  <si>
    <t>Bryce Lance</t>
  </si>
  <si>
    <t>Ted Hurst</t>
  </si>
  <si>
    <t>Deion Burks</t>
  </si>
  <si>
    <t>Brenen Thompson</t>
  </si>
  <si>
    <t>De'Zhaun Stribling</t>
  </si>
  <si>
    <t>Caleb Douglas</t>
  </si>
  <si>
    <t>Zavion Thomas</t>
  </si>
  <si>
    <t>Kaden Wetjen</t>
  </si>
  <si>
    <t>Colbie Young</t>
  </si>
  <si>
    <t>Reggie Virgil</t>
  </si>
  <si>
    <t>Kendrick Law</t>
  </si>
  <si>
    <t>Kevin Coleman Jr.</t>
  </si>
  <si>
    <t>Barion Brown</t>
  </si>
  <si>
    <t>Josh Cameron</t>
  </si>
  <si>
    <t>Emmanuel Henderson Jr.</t>
  </si>
  <si>
    <t>Malik Benson</t>
  </si>
  <si>
    <t>CJ Daniels</t>
  </si>
  <si>
    <t>Caullin Lacy</t>
  </si>
  <si>
    <t>Donaven McCulley</t>
  </si>
  <si>
    <t>Chris Hilton Jr.</t>
  </si>
  <si>
    <t>J. Michael Sturdivant</t>
  </si>
  <si>
    <t>Harrison Wallace III</t>
  </si>
  <si>
    <t>Jalen Walthall</t>
  </si>
  <si>
    <t>Eric Rivers</t>
  </si>
  <si>
    <t>Eric McAlister</t>
  </si>
  <si>
    <t>Chase Roberts</t>
  </si>
  <si>
    <t>Jordan Hudson</t>
  </si>
  <si>
    <t>Aaron Anderson</t>
  </si>
  <si>
    <t>Dillon Bell</t>
  </si>
  <si>
    <t>Vinny Anthony II</t>
  </si>
  <si>
    <t>Jeff Caldwell</t>
  </si>
  <si>
    <t>Marvin Harrison Jr.</t>
  </si>
  <si>
    <t>Malik Nabers</t>
  </si>
  <si>
    <t>Rome Odunze</t>
  </si>
  <si>
    <t>Washington</t>
  </si>
  <si>
    <t>Keon Coleman</t>
  </si>
  <si>
    <t>Florida State</t>
  </si>
  <si>
    <t>Xavier Worthy</t>
  </si>
  <si>
    <t>Ladd McConkey</t>
  </si>
  <si>
    <t>Adonai Mitchell</t>
  </si>
  <si>
    <t>Brian Thomas Jr.</t>
  </si>
  <si>
    <t>Xavier Legette</t>
  </si>
  <si>
    <t>Ja'Lynn Polk</t>
  </si>
  <si>
    <t>Roman Wilson</t>
  </si>
  <si>
    <t>Troy Franklin</t>
  </si>
  <si>
    <t>Oregon</t>
  </si>
  <si>
    <t>Devontez Walker</t>
  </si>
  <si>
    <t>Jermaine Burton</t>
  </si>
  <si>
    <t>Ricky Pearsall</t>
  </si>
  <si>
    <t>Johnny Wilson</t>
  </si>
  <si>
    <t>Tahj Washington</t>
  </si>
  <si>
    <t>Cornelius Johnson</t>
  </si>
  <si>
    <t>Jha'Quan Jackson</t>
  </si>
  <si>
    <t>Luke McCaffrey</t>
  </si>
  <si>
    <t>Rice</t>
  </si>
  <si>
    <t>Malik Washington</t>
  </si>
  <si>
    <t>Jordan Whittington</t>
  </si>
  <si>
    <t>Jamari Thrash</t>
  </si>
  <si>
    <t>Ainias Smith</t>
  </si>
  <si>
    <t>Texas A&amp;M</t>
  </si>
  <si>
    <t>Bub Means</t>
  </si>
  <si>
    <t>Pittsburgh</t>
  </si>
  <si>
    <t>Jacob Cowing</t>
  </si>
  <si>
    <t>Arizona</t>
  </si>
  <si>
    <t>Jalen McMillan</t>
  </si>
  <si>
    <t>Brenden Rice</t>
  </si>
  <si>
    <t>Malachi Corley</t>
  </si>
  <si>
    <t>Western Kentucky</t>
  </si>
  <si>
    <t>Javon Baker</t>
  </si>
  <si>
    <t>Travis Hunter</t>
  </si>
  <si>
    <t>Tetairoa McMillan</t>
  </si>
  <si>
    <t>Emeka Egbuka</t>
  </si>
  <si>
    <t>Matthew Golden</t>
  </si>
  <si>
    <t>Jayden Higgins</t>
  </si>
  <si>
    <t>Iowa State</t>
  </si>
  <si>
    <t>Luther Burden</t>
  </si>
  <si>
    <t>Missouri</t>
  </si>
  <si>
    <t>Tre Harris</t>
  </si>
  <si>
    <t>Jack Bech</t>
  </si>
  <si>
    <t>Kyle Williams</t>
  </si>
  <si>
    <t>Washington State</t>
  </si>
  <si>
    <t>Isaac TeSlaa</t>
  </si>
  <si>
    <t>Pat Bryant</t>
  </si>
  <si>
    <t>Illinois</t>
  </si>
  <si>
    <t>Jaylin Noel</t>
  </si>
  <si>
    <t>Savion Williams</t>
  </si>
  <si>
    <t>Tai Felton</t>
  </si>
  <si>
    <t>Maryland</t>
  </si>
  <si>
    <t>Chimere Dike</t>
  </si>
  <si>
    <t>Dont'e Thornton</t>
  </si>
  <si>
    <t>Arian Smith</t>
  </si>
  <si>
    <t>Jaylin Lane</t>
  </si>
  <si>
    <t>Virginia Tech</t>
  </si>
  <si>
    <t>Jalen Royals</t>
  </si>
  <si>
    <t>Utah State</t>
  </si>
  <si>
    <t>Elic Ayomanor</t>
  </si>
  <si>
    <t>Jordan Watkins</t>
  </si>
  <si>
    <t>KeAndre Lambert-Smith</t>
  </si>
  <si>
    <t>Tory Horton</t>
  </si>
  <si>
    <t>Colorado State</t>
  </si>
  <si>
    <t>LaJohntay Wester</t>
  </si>
  <si>
    <t>Jimmy Horn</t>
  </si>
  <si>
    <t>Tez Johnson</t>
  </si>
  <si>
    <t>Ricky White</t>
  </si>
  <si>
    <t>UNLV</t>
  </si>
  <si>
    <t>Kaden Prather</t>
  </si>
  <si>
    <t>Konata Mumpfield</t>
  </si>
  <si>
    <t>Dominic Lovett</t>
  </si>
  <si>
    <t>Isaiah Bond</t>
  </si>
  <si>
    <t>N/A</t>
  </si>
  <si>
    <t>Theo Wease Jr.</t>
  </si>
  <si>
    <t>Xavier Restrepo</t>
  </si>
  <si>
    <t>Isaiah Neyor</t>
  </si>
  <si>
    <t>Josh Kelly</t>
  </si>
  <si>
    <t>Nick Nash</t>
  </si>
  <si>
    <t>San Jose State</t>
  </si>
  <si>
    <t>Da'Quan Felton</t>
  </si>
  <si>
    <t>Traeshon Holden</t>
  </si>
  <si>
    <t>Elijhah Badger</t>
  </si>
  <si>
    <t>Kobe Hudson</t>
  </si>
  <si>
    <t>Sam Brown Jr.</t>
  </si>
  <si>
    <t>Antwane Wells Jr.</t>
  </si>
  <si>
    <t>Daniel Jackson</t>
  </si>
  <si>
    <t>Jacolby George</t>
  </si>
  <si>
    <t>Beaux Collins</t>
  </si>
  <si>
    <t>Ja'Corey Brooks</t>
  </si>
  <si>
    <t>-</t>
  </si>
  <si>
    <t>Roc Taylor</t>
  </si>
  <si>
    <t>Andrew Armstrong</t>
  </si>
  <si>
    <t>Indiana</t>
  </si>
  <si>
    <t>Connecticut</t>
  </si>
  <si>
    <t>Georgia State</t>
  </si>
  <si>
    <t>Mississippi State</t>
  </si>
  <si>
    <t>Hawaii</t>
  </si>
  <si>
    <t>Georgia Tech</t>
  </si>
  <si>
    <t>Kansas</t>
  </si>
  <si>
    <t>Wisconsin</t>
  </si>
  <si>
    <r>
      <rPr>
        <rFont val="Montserrat, Helvetica, Arial, sans-serif"/>
        <color rgb="FF1155CC"/>
        <u/>
      </rPr>
      <t>Jordyn Tyson</t>
    </r>
    <r>
      <rPr>
        <rFont val="Montserrat, Helvetica, Arial, sans-serif"/>
      </rPr>
      <t xml:space="preserve">
Arizona State</t>
    </r>
  </si>
  <si>
    <t>6' 2"</t>
  </si>
  <si>
    <t>203 lbs</t>
  </si>
  <si>
    <r>
      <rPr>
        <rFont val="Montserrat, Helvetica, Arial, sans-serif"/>
        <color rgb="FF1155CC"/>
        <u/>
      </rPr>
      <t>Carnell Tate</t>
    </r>
    <r>
      <rPr>
        <rFont val="Montserrat, Helvetica, Arial, sans-serif"/>
      </rPr>
      <t xml:space="preserve">
Ohio State</t>
    </r>
  </si>
  <si>
    <t>192 lbs</t>
  </si>
  <si>
    <r>
      <rPr>
        <rFont val="Montserrat, Helvetica, Arial, sans-serif"/>
        <color rgb="FF1155CC"/>
        <u/>
      </rPr>
      <t>Makai Lemon</t>
    </r>
    <r>
      <rPr>
        <rFont val="Montserrat, Helvetica, Arial, sans-serif"/>
      </rPr>
      <t xml:space="preserve">
USC</t>
    </r>
  </si>
  <si>
    <t>5' 11"</t>
  </si>
  <si>
    <r>
      <rPr>
        <rFont val="Montserrat, Helvetica, Arial, sans-serif"/>
        <color rgb="FF1155CC"/>
        <u/>
      </rPr>
      <t>KC Concepcion</t>
    </r>
    <r>
      <rPr>
        <rFont val="Montserrat, Helvetica, Arial, sans-serif"/>
      </rPr>
      <t xml:space="preserve">
Texas A&amp;M</t>
    </r>
  </si>
  <si>
    <t>6' 0"</t>
  </si>
  <si>
    <t>196 lbs</t>
  </si>
  <si>
    <r>
      <rPr>
        <rFont val="Montserrat, Helvetica, Arial, sans-serif"/>
        <color rgb="FF1155CC"/>
        <u/>
      </rPr>
      <t>Denzel Boston</t>
    </r>
    <r>
      <rPr>
        <rFont val="Montserrat, Helvetica, Arial, sans-serif"/>
      </rPr>
      <t xml:space="preserve">
Washington</t>
    </r>
  </si>
  <si>
    <t>6' 4"</t>
  </si>
  <si>
    <t>212 lbs</t>
  </si>
  <si>
    <r>
      <rPr>
        <rFont val="Montserrat, Helvetica, Arial, sans-serif"/>
        <color rgb="FF1155CC"/>
        <u/>
      </rPr>
      <t>Omar Cooper Jr.</t>
    </r>
    <r>
      <rPr>
        <rFont val="Montserrat, Helvetica, Arial, sans-serif"/>
      </rPr>
      <t xml:space="preserve">
Indiana</t>
    </r>
  </si>
  <si>
    <t>199 lbs</t>
  </si>
  <si>
    <r>
      <rPr>
        <rFont val="Montserrat, Helvetica, Arial, sans-serif"/>
        <color rgb="FF1155CC"/>
        <u/>
      </rPr>
      <t>Elijah Sarratt</t>
    </r>
    <r>
      <rPr>
        <rFont val="Montserrat, Helvetica, Arial, sans-serif"/>
      </rPr>
      <t xml:space="preserve">
Indiana</t>
    </r>
  </si>
  <si>
    <t>6' 3"</t>
  </si>
  <si>
    <t>210 lbs</t>
  </si>
  <si>
    <r>
      <rPr>
        <rFont val="Montserrat, Helvetica, Arial, sans-serif"/>
        <color rgb="FF1155CC"/>
        <u/>
      </rPr>
      <t>Germie Bernard</t>
    </r>
    <r>
      <rPr>
        <rFont val="Montserrat, Helvetica, Arial, sans-serif"/>
      </rPr>
      <t xml:space="preserve">
Alabama</t>
    </r>
  </si>
  <si>
    <t>6' 1"</t>
  </si>
  <si>
    <t>206 lbs</t>
  </si>
  <si>
    <r>
      <rPr>
        <rFont val="Montserrat, Helvetica, Arial, sans-serif"/>
        <color rgb="FF1155CC"/>
        <u/>
      </rPr>
      <t>Chris Brazzell II</t>
    </r>
    <r>
      <rPr>
        <rFont val="Montserrat, Helvetica, Arial, sans-serif"/>
      </rPr>
      <t xml:space="preserve">
Tennessee</t>
    </r>
  </si>
  <si>
    <t>198 lbs</t>
  </si>
  <si>
    <r>
      <rPr>
        <rFont val="Montserrat, Helvetica, Arial, sans-serif"/>
        <color rgb="FF1155CC"/>
        <u/>
      </rPr>
      <t>Chris Bell</t>
    </r>
    <r>
      <rPr>
        <rFont val="Montserrat, Helvetica, Arial, sans-serif"/>
      </rPr>
      <t xml:space="preserve">
Louisville</t>
    </r>
  </si>
  <si>
    <t>222 lbs</t>
  </si>
  <si>
    <r>
      <rPr>
        <rFont val="Montserrat, Helvetica, Arial, sans-serif"/>
        <color rgb="FF1155CC"/>
        <u/>
      </rPr>
      <t>Ja'Kobi Lane</t>
    </r>
    <r>
      <rPr>
        <rFont val="Montserrat, Helvetica, Arial, sans-serif"/>
      </rPr>
      <t xml:space="preserve">
USC</t>
    </r>
  </si>
  <si>
    <t>200 lbs</t>
  </si>
  <si>
    <r>
      <rPr>
        <rFont val="Montserrat, Helvetica, Arial, sans-serif"/>
        <color rgb="FF1155CC"/>
        <u/>
      </rPr>
      <t>Malachi Fields</t>
    </r>
    <r>
      <rPr>
        <rFont val="Montserrat, Helvetica, Arial, sans-serif"/>
      </rPr>
      <t xml:space="preserve">
Notre Dame</t>
    </r>
  </si>
  <si>
    <t>6' 5"</t>
  </si>
  <si>
    <t>218 lbs</t>
  </si>
  <si>
    <r>
      <rPr>
        <rFont val="Montserrat, Helvetica, Arial, sans-serif"/>
        <color rgb="FF1155CC"/>
        <u/>
      </rPr>
      <t>Zachariah Branch</t>
    </r>
    <r>
      <rPr>
        <rFont val="Montserrat, Helvetica, Arial, sans-serif"/>
      </rPr>
      <t xml:space="preserve">
Georgia</t>
    </r>
  </si>
  <si>
    <t>5' 9"</t>
  </si>
  <si>
    <t>177 lbs</t>
  </si>
  <si>
    <r>
      <rPr>
        <rFont val="Montserrat, Helvetica, Arial, sans-serif"/>
        <color rgb="FF1155CC"/>
        <u/>
      </rPr>
      <t>Antonio Williams</t>
    </r>
    <r>
      <rPr>
        <rFont val="Montserrat, Helvetica, Arial, sans-serif"/>
      </rPr>
      <t xml:space="preserve">
Clemson</t>
    </r>
  </si>
  <si>
    <t>187 lbs</t>
  </si>
  <si>
    <r>
      <rPr>
        <rFont val="Montserrat, Helvetica, Arial, sans-serif"/>
        <color rgb="FF1155CC"/>
        <u/>
      </rPr>
      <t>Skyler Bell</t>
    </r>
    <r>
      <rPr>
        <rFont val="Montserrat, Helvetica, Arial, sans-serif"/>
      </rPr>
      <t xml:space="preserve">
Connecticut</t>
    </r>
  </si>
  <si>
    <r>
      <rPr>
        <rFont val="Montserrat, Helvetica, Arial, sans-serif"/>
        <color rgb="FF1155CC"/>
        <u/>
      </rPr>
      <t>Bryce Lance</t>
    </r>
    <r>
      <rPr>
        <rFont val="Montserrat, Helvetica, Arial, sans-serif"/>
      </rPr>
      <t xml:space="preserve">
North Dakota State</t>
    </r>
  </si>
  <si>
    <t>204 lbs</t>
  </si>
  <si>
    <t>No Breakout</t>
  </si>
  <si>
    <r>
      <rPr>
        <rFont val="Montserrat, Helvetica, Arial, sans-serif"/>
        <color rgb="FF1155CC"/>
        <u/>
      </rPr>
      <t>Ted Hurst</t>
    </r>
    <r>
      <rPr>
        <rFont val="Montserrat, Helvetica, Arial, sans-serif"/>
      </rPr>
      <t xml:space="preserve">
Georgia State</t>
    </r>
  </si>
  <si>
    <r>
      <rPr>
        <rFont val="Montserrat, Helvetica, Arial, sans-serif"/>
        <color rgb="FF1155CC"/>
        <u/>
      </rPr>
      <t>Deion Burks</t>
    </r>
    <r>
      <rPr>
        <rFont val="Montserrat, Helvetica, Arial, sans-serif"/>
      </rPr>
      <t xml:space="preserve">
Oklahoma</t>
    </r>
  </si>
  <si>
    <t>5' 10"</t>
  </si>
  <si>
    <t>180 lbs</t>
  </si>
  <si>
    <r>
      <rPr>
        <rFont val="Montserrat, Helvetica, Arial, sans-serif"/>
        <color rgb="FF1155CC"/>
        <u/>
      </rPr>
      <t>Brenen Thompson</t>
    </r>
    <r>
      <rPr>
        <rFont val="Montserrat, Helvetica, Arial, sans-serif"/>
      </rPr>
      <t xml:space="preserve">
Mississippi State</t>
    </r>
  </si>
  <si>
    <t>164 lbs</t>
  </si>
  <si>
    <r>
      <rPr>
        <rFont val="Montserrat, Helvetica, Arial, sans-serif"/>
        <color rgb="FF1155CC"/>
        <u/>
      </rPr>
      <t>De'Zhaun Stribling</t>
    </r>
    <r>
      <rPr>
        <rFont val="Montserrat, Helvetica, Arial, sans-serif"/>
      </rPr>
      <t xml:space="preserve">
Ole Miss</t>
    </r>
  </si>
  <si>
    <t>207 lbs</t>
  </si>
  <si>
    <r>
      <rPr>
        <rFont val="Montserrat, Helvetica, Arial, sans-serif"/>
        <color rgb="FF1155CC"/>
        <u/>
      </rPr>
      <t>Caleb Douglas</t>
    </r>
    <r>
      <rPr>
        <rFont val="Montserrat, Helvetica, Arial, sans-serif"/>
      </rPr>
      <t xml:space="preserve">
Texas Tech</t>
    </r>
  </si>
  <si>
    <r>
      <rPr>
        <rFont val="Montserrat, Helvetica, Arial, sans-serif"/>
        <color rgb="FF1155CC"/>
        <u/>
      </rPr>
      <t>Zavion Thomas</t>
    </r>
    <r>
      <rPr>
        <rFont val="Montserrat, Helvetica, Arial, sans-serif"/>
      </rPr>
      <t xml:space="preserve">
LSU</t>
    </r>
  </si>
  <si>
    <t>190 lbs</t>
  </si>
  <si>
    <r>
      <rPr>
        <rFont val="Montserrat, Helvetica, Arial, sans-serif"/>
        <color rgb="FF1155CC"/>
        <u/>
      </rPr>
      <t>Kaden Wetjen</t>
    </r>
    <r>
      <rPr>
        <rFont val="Montserrat, Helvetica, Arial, sans-serif"/>
      </rPr>
      <t xml:space="preserve">
Iowa</t>
    </r>
  </si>
  <si>
    <t>193 lbs</t>
  </si>
  <si>
    <r>
      <rPr>
        <rFont val="Montserrat, Helvetica, Arial, sans-serif"/>
        <color rgb="FF1155CC"/>
        <u/>
      </rPr>
      <t>Colbie Young</t>
    </r>
    <r>
      <rPr>
        <rFont val="Montserrat, Helvetica, Arial, sans-serif"/>
      </rPr>
      <t xml:space="preserve">
Georgia</t>
    </r>
  </si>
  <si>
    <r>
      <rPr>
        <rFont val="Montserrat, Helvetica, Arial, sans-serif"/>
        <color rgb="FF1155CC"/>
        <u/>
      </rPr>
      <t>Reggie Virgil</t>
    </r>
    <r>
      <rPr>
        <rFont val="Montserrat, Helvetica, Arial, sans-serif"/>
      </rPr>
      <t xml:space="preserve">
Texas Tech</t>
    </r>
  </si>
  <si>
    <r>
      <rPr>
        <rFont val="Montserrat, Helvetica, Arial, sans-serif"/>
        <color rgb="FF1155CC"/>
        <u/>
      </rPr>
      <t>Kendrick Law</t>
    </r>
    <r>
      <rPr>
        <rFont val="Montserrat, Helvetica, Arial, sans-serif"/>
      </rPr>
      <t xml:space="preserve">
Kentucky</t>
    </r>
  </si>
  <si>
    <r>
      <rPr>
        <rFont val="Montserrat, Helvetica, Arial, sans-serif"/>
        <color rgb="FF1155CC"/>
        <u/>
      </rPr>
      <t>Kevin Coleman Jr.</t>
    </r>
    <r>
      <rPr>
        <rFont val="Montserrat, Helvetica, Arial, sans-serif"/>
      </rPr>
      <t xml:space="preserve">
Missouri</t>
    </r>
  </si>
  <si>
    <t>179 lbs</t>
  </si>
  <si>
    <r>
      <rPr>
        <rFont val="Montserrat, Helvetica, Arial, sans-serif"/>
        <color rgb="FF1155CC"/>
        <u/>
      </rPr>
      <t>Barion Brown</t>
    </r>
    <r>
      <rPr>
        <rFont val="Montserrat, Helvetica, Arial, sans-serif"/>
      </rPr>
      <t xml:space="preserve">
LSU</t>
    </r>
  </si>
  <si>
    <r>
      <rPr>
        <rFont val="Montserrat, Helvetica, Arial, sans-serif"/>
        <color rgb="FF1155CC"/>
        <u/>
      </rPr>
      <t>Josh Cameron</t>
    </r>
    <r>
      <rPr>
        <rFont val="Montserrat, Helvetica, Arial, sans-serif"/>
      </rPr>
      <t xml:space="preserve">
Baylor</t>
    </r>
  </si>
  <si>
    <t>220 lbs</t>
  </si>
  <si>
    <r>
      <rPr>
        <rFont val="Montserrat, Helvetica, Arial, sans-serif"/>
        <color rgb="FF1155CC"/>
        <u/>
      </rPr>
      <t>Emmanuel Henderson Jr.</t>
    </r>
    <r>
      <rPr>
        <rFont val="Montserrat, Helvetica, Arial, sans-serif"/>
      </rPr>
      <t xml:space="preserve">
Kansas</t>
    </r>
  </si>
  <si>
    <t>185 lbs</t>
  </si>
  <si>
    <r>
      <rPr>
        <rFont val="Montserrat, Helvetica, Arial, sans-serif"/>
        <color rgb="FF1155CC"/>
        <u/>
      </rPr>
      <t>Malik Benson</t>
    </r>
    <r>
      <rPr>
        <rFont val="Montserrat, Helvetica, Arial, sans-serif"/>
      </rPr>
      <t xml:space="preserve">
Oregon</t>
    </r>
  </si>
  <si>
    <t>189 lbs</t>
  </si>
  <si>
    <r>
      <rPr>
        <rFont val="Montserrat, Helvetica, Arial, sans-serif"/>
        <color rgb="FF1155CC"/>
        <u/>
      </rPr>
      <t>CJ Daniels</t>
    </r>
    <r>
      <rPr>
        <rFont val="Montserrat, Helvetica, Arial, sans-serif"/>
      </rPr>
      <t xml:space="preserve">
Miami</t>
    </r>
  </si>
  <si>
    <t>202 lbs</t>
  </si>
  <si>
    <r>
      <rPr>
        <rFont val="Montserrat, Helvetica, Arial, sans-serif"/>
        <color rgb="FF1155CC"/>
        <u/>
      </rPr>
      <t>Caullin Lacy</t>
    </r>
    <r>
      <rPr>
        <rFont val="Montserrat, Helvetica, Arial, sans-serif"/>
      </rPr>
      <t xml:space="preserve">
Louisville</t>
    </r>
  </si>
  <si>
    <t>183 lbs</t>
  </si>
  <si>
    <r>
      <rPr>
        <rFont val="Montserrat, Helvetica, Arial, sans-serif"/>
        <color rgb="FF1155CC"/>
        <u/>
      </rPr>
      <t>Donaven McCulley</t>
    </r>
    <r>
      <rPr>
        <rFont val="Montserrat, Helvetica, Arial, sans-serif"/>
      </rPr>
      <t xml:space="preserve">
Michigan</t>
    </r>
  </si>
  <si>
    <r>
      <rPr>
        <rFont val="Montserrat, Helvetica, Arial, sans-serif"/>
        <color rgb="FF1155CC"/>
        <u/>
      </rPr>
      <t>Chris Hilton Jr.</t>
    </r>
    <r>
      <rPr>
        <rFont val="Montserrat, Helvetica, Arial, sans-serif"/>
      </rPr>
      <t xml:space="preserve">
LSU</t>
    </r>
  </si>
  <si>
    <t>188 lbs</t>
  </si>
  <si>
    <r>
      <rPr>
        <rFont val="Montserrat, Helvetica, Arial, sans-serif"/>
        <color rgb="FF1155CC"/>
        <u/>
      </rPr>
      <t>J. Michael Sturdivant</t>
    </r>
    <r>
      <rPr>
        <rFont val="Montserrat, Helvetica, Arial, sans-serif"/>
      </rPr>
      <t xml:space="preserve">
Florida</t>
    </r>
  </si>
  <si>
    <r>
      <rPr>
        <rFont val="Montserrat, Helvetica, Arial, sans-serif"/>
        <color rgb="FF1155CC"/>
        <u/>
      </rPr>
      <t>Harrison Wallace III</t>
    </r>
    <r>
      <rPr>
        <rFont val="Montserrat, Helvetica, Arial, sans-serif"/>
      </rPr>
      <t xml:space="preserve">
Ole Miss</t>
    </r>
  </si>
  <si>
    <r>
      <rPr>
        <rFont val="Montserrat, Helvetica, Arial, sans-serif"/>
        <color rgb="FF1155CC"/>
        <u/>
      </rPr>
      <t>Jalen Walthall</t>
    </r>
    <r>
      <rPr>
        <rFont val="Montserrat, Helvetica, Arial, sans-serif"/>
      </rPr>
      <t xml:space="preserve">
Hawaii</t>
    </r>
  </si>
  <si>
    <t>191 lbs</t>
  </si>
  <si>
    <r>
      <rPr>
        <rFont val="Montserrat, Helvetica, Arial, sans-serif"/>
        <color rgb="FF1155CC"/>
        <u/>
      </rPr>
      <t>Eric Rivers</t>
    </r>
    <r>
      <rPr>
        <rFont val="Montserrat, Helvetica, Arial, sans-serif"/>
      </rPr>
      <t xml:space="preserve">
Georgia Tech</t>
    </r>
  </si>
  <si>
    <t>176 lbs</t>
  </si>
  <si>
    <r>
      <rPr>
        <rFont val="Montserrat, Helvetica, Arial, sans-serif"/>
        <color rgb="FF1155CC"/>
        <u/>
      </rPr>
      <t>Eric McAlister</t>
    </r>
    <r>
      <rPr>
        <rFont val="Montserrat, Helvetica, Arial, sans-serif"/>
      </rPr>
      <t xml:space="preserve">
TCU</t>
    </r>
  </si>
  <si>
    <t>194 lbs</t>
  </si>
  <si>
    <r>
      <rPr>
        <rFont val="Montserrat, Helvetica, Arial, sans-serif"/>
        <color rgb="FF1155CC"/>
        <u/>
      </rPr>
      <t>Chase Roberts</t>
    </r>
    <r>
      <rPr>
        <rFont val="Montserrat, Helvetica, Arial, sans-serif"/>
      </rPr>
      <t xml:space="preserve">
BYU</t>
    </r>
  </si>
  <si>
    <t>209 lbs</t>
  </si>
  <si>
    <r>
      <rPr>
        <rFont val="Montserrat, Helvetica, Arial, sans-serif"/>
        <color rgb="FF1155CC"/>
        <u/>
      </rPr>
      <t>Jordan Hudson</t>
    </r>
    <r>
      <rPr>
        <rFont val="Montserrat, Helvetica, Arial, sans-serif"/>
      </rPr>
      <t xml:space="preserve">
SMU</t>
    </r>
  </si>
  <si>
    <r>
      <rPr>
        <rFont val="Montserrat, Helvetica, Arial, sans-serif"/>
        <color rgb="FF1155CC"/>
        <u/>
      </rPr>
      <t>Aaron Anderson</t>
    </r>
    <r>
      <rPr>
        <rFont val="Montserrat, Helvetica, Arial, sans-serif"/>
      </rPr>
      <t xml:space="preserve">
LSU</t>
    </r>
  </si>
  <si>
    <t>5' 8"</t>
  </si>
  <si>
    <r>
      <rPr>
        <rFont val="Montserrat, Helvetica, Arial, sans-serif"/>
        <color rgb="FF1155CC"/>
        <u/>
      </rPr>
      <t>Dillon Bell</t>
    </r>
    <r>
      <rPr>
        <rFont val="Montserrat, Helvetica, Arial, sans-serif"/>
      </rPr>
      <t xml:space="preserve">
Georgia</t>
    </r>
  </si>
  <si>
    <r>
      <rPr>
        <rFont val="Montserrat, Helvetica, Arial, sans-serif"/>
        <color rgb="FF1155CC"/>
        <u/>
      </rPr>
      <t>Vinny Anthony II</t>
    </r>
    <r>
      <rPr>
        <rFont val="Montserrat, Helvetica, Arial, sans-serif"/>
      </rPr>
      <t xml:space="preserve">
Wisconsin</t>
    </r>
  </si>
  <si>
    <r>
      <rPr>
        <rFont val="Montserrat, Helvetica, Arial, sans-serif"/>
        <color rgb="FF1155CC"/>
        <u/>
      </rPr>
      <t>Jeff Caldwell</t>
    </r>
    <r>
      <rPr>
        <rFont val="Montserrat, Helvetica, Arial, sans-serif"/>
      </rPr>
      <t xml:space="preserve">
Cincinnati</t>
    </r>
  </si>
  <si>
    <t>216 lbs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</si>
</sst>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u/>
      <color rgb="FF0000FF"/>
      <name val="Montserrat"/>
    </font>
    <font>
      <color rgb="FF42AC4D"/>
      <name val="Montserrat"/>
    </font>
    <font>
      <color rgb="FFF3D156"/>
      <name val="Montserrat"/>
    </font>
    <font>
      <color rgb="FFEB0000"/>
      <name val="Montserrat"/>
    </font>
    <font>
      <color rgb="FF25EF5B"/>
      <name val="Montserrat"/>
    </font>
    <font>
      <color rgb="FF000000"/>
      <name val="Montserrat"/>
    </font>
    <font>
      <color rgb="FF000000"/>
      <name val="Arial"/>
    </font>
    <font>
      <sz val="11.0"/>
      <color theme="1"/>
      <name val="Arial"/>
    </font>
    <font>
      <color theme="1"/>
      <name val="Arial"/>
    </font>
    <font>
      <u/>
      <color rgb="FF0000FF"/>
      <name val="Montserrat"/>
    </font>
    <font>
      <color rgb="FF555555"/>
      <name val="Montserrat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47B20"/>
        <bgColor rgb="FF147B2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2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2" xfId="0" applyFont="1" applyNumberFormat="1"/>
    <xf borderId="0" fillId="0" fontId="1" numFmtId="1" xfId="0" applyFont="1" applyNumberFormat="1"/>
    <xf borderId="0" fillId="0" fontId="1" numFmtId="164" xfId="0" applyFont="1" applyNumberFormat="1"/>
    <xf borderId="0" fillId="0" fontId="1" numFmtId="0" xfId="0" applyAlignment="1" applyFont="1">
      <alignment horizontal="left" readingOrder="0"/>
    </xf>
    <xf borderId="0" fillId="0" fontId="1" numFmtId="2" xfId="0" applyAlignment="1" applyFont="1" applyNumberFormat="1">
      <alignment horizontal="right"/>
    </xf>
    <xf borderId="0" fillId="0" fontId="1" numFmtId="0" xfId="0" applyAlignment="1" applyFont="1">
      <alignment horizontal="center"/>
    </xf>
    <xf borderId="0" fillId="0" fontId="2" numFmtId="2" xfId="0" applyFont="1" applyNumberFormat="1"/>
    <xf borderId="2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 readingOrder="0"/>
    </xf>
    <xf borderId="3" fillId="2" fontId="1" numFmtId="0" xfId="0" applyBorder="1" applyFont="1"/>
    <xf borderId="3" fillId="2" fontId="1" numFmtId="0" xfId="0" applyAlignment="1" applyBorder="1" applyFont="1">
      <alignment horizontal="center"/>
    </xf>
    <xf borderId="3" fillId="2" fontId="1" numFmtId="164" xfId="0" applyBorder="1" applyFont="1" applyNumberFormat="1"/>
    <xf borderId="3" fillId="2" fontId="1" numFmtId="2" xfId="0" applyBorder="1" applyFont="1" applyNumberFormat="1"/>
    <xf borderId="3" fillId="2" fontId="1" numFmtId="0" xfId="0" applyBorder="1" applyFont="1"/>
    <xf borderId="3" fillId="2" fontId="1" numFmtId="2" xfId="0" applyBorder="1" applyFont="1" applyNumberFormat="1"/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0" fillId="0" fontId="2" numFmtId="0" xfId="0" applyFont="1"/>
    <xf borderId="0" fillId="0" fontId="1" numFmtId="164" xfId="0" applyFont="1" applyNumberFormat="1"/>
    <xf borderId="0" fillId="0" fontId="1" numFmtId="2" xfId="0" applyFont="1" applyNumberFormat="1"/>
    <xf borderId="0" fillId="0" fontId="1" numFmtId="1" xfId="0" applyFont="1" applyNumberFormat="1"/>
    <xf borderId="0" fillId="0" fontId="1" numFmtId="9" xfId="0" applyFont="1" applyNumberFormat="1"/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3" fontId="7" numFmtId="0" xfId="0" applyAlignment="1" applyFill="1" applyFont="1">
      <alignment horizontal="center" vertical="bottom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8" numFmtId="2" xfId="0" applyAlignment="1" applyFont="1" applyNumberFormat="1">
      <alignment horizontal="center" readingOrder="0"/>
    </xf>
    <xf borderId="0" fillId="0" fontId="9" numFmtId="0" xfId="0" applyAlignment="1" applyFont="1">
      <alignment readingOrder="0"/>
    </xf>
    <xf borderId="0" fillId="0" fontId="9" numFmtId="2" xfId="0" applyAlignment="1" applyFont="1" applyNumberFormat="1">
      <alignment readingOrder="0"/>
    </xf>
    <xf borderId="0" fillId="0" fontId="9" numFmtId="0" xfId="0" applyFont="1"/>
    <xf borderId="0" fillId="0" fontId="8" numFmtId="2" xfId="0" applyAlignment="1" applyFont="1" applyNumberFormat="1">
      <alignment horizontal="center"/>
    </xf>
    <xf borderId="0" fillId="0" fontId="9" numFmtId="2" xfId="0" applyFont="1" applyNumberFormat="1"/>
    <xf borderId="0" fillId="0" fontId="9" numFmtId="0" xfId="0" applyFont="1"/>
    <xf borderId="0" fillId="0" fontId="10" numFmtId="0" xfId="0" applyFont="1"/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 readingOrder="0"/>
    </xf>
    <xf borderId="0" fillId="0" fontId="11" numFmtId="2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11" numFmtId="2" xfId="0" applyAlignment="1" applyFont="1" applyNumberFormat="1">
      <alignment horizontal="center"/>
    </xf>
    <xf borderId="0" fillId="0" fontId="11" numFmtId="0" xfId="0" applyFont="1"/>
    <xf borderId="0" fillId="0" fontId="12" numFmtId="0" xfId="0" applyAlignment="1" applyFont="1">
      <alignment horizontal="left" readingOrder="0"/>
    </xf>
    <xf borderId="0" fillId="0" fontId="1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3" fontId="7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</dxfs>
  <tableStyles count="2">
    <tableStyle count="3" pivot="0" name="2020-style">
      <tableStyleElement dxfId="1" type="headerRow"/>
      <tableStyleElement dxfId="2" type="firstRowStripe"/>
      <tableStyleElement dxfId="1" type="secondRowStripe"/>
    </tableStyle>
    <tableStyle count="3" pivot="0" name="2021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21" displayName="Table_1" name="Table_1" id="1">
  <tableColumns count="22">
    <tableColumn name="Player" id="1"/>
    <tableColumn name="School" id="2"/>
    <tableColumn name="Pick_Num" id="3"/>
    <tableColumn name="Team" id="4"/>
    <tableColumn name="GP" id="5"/>
    <tableColumn name="Rec" id="6"/>
    <tableColumn name="Rec_Yds" id="7"/>
    <tableColumn name="Rec_Yds_Game" id="8"/>
    <tableColumn name="YPC" id="9"/>
    <tableColumn name="Rec_TDs" id="10"/>
    <tableColumn name="Rush_Att" id="11"/>
    <tableColumn name="Rush_Yds" id="12"/>
    <tableColumn name="Rush_YPA" id="13"/>
    <tableColumn name="Rush_TDs" id="14"/>
    <tableColumn name="Fumbles" id="15"/>
    <tableColumn name="Col_FPPG" id="16"/>
    <tableColumn name="Rec_Percentage" id="17"/>
    <tableColumn name="TD_Percentage" id="18"/>
    <tableColumn name="Dominator" id="19"/>
    <tableColumn name="Vac_Tar" id="20"/>
    <tableColumn name="Age" id="21"/>
    <tableColumn name="Height" id="22"/>
  </tableColumns>
  <tableStyleInfo name="2020-style" showColumnStripes="0" showFirstColumn="1" showLastColumn="1" showRowStripes="1"/>
</table>
</file>

<file path=xl/tables/table2.xml><?xml version="1.0" encoding="utf-8"?>
<table xmlns="http://schemas.openxmlformats.org/spreadsheetml/2006/main" ref="A1:W28" displayName="Table_2" name="Table_2" id="2">
  <tableColumns count="23">
    <tableColumn name="Player" id="1"/>
    <tableColumn name="School" id="2"/>
    <tableColumn name="Pick_Num" id="3"/>
    <tableColumn name="Team" id="4"/>
    <tableColumn name="GP" id="5"/>
    <tableColumn name="Rec" id="6"/>
    <tableColumn name="Rec_Yds" id="7"/>
    <tableColumn name="Rec_Yds_Game" id="8"/>
    <tableColumn name="YPC" id="9"/>
    <tableColumn name="Rec_TDs" id="10"/>
    <tableColumn name="Rush_Att" id="11"/>
    <tableColumn name="Rush_Yds" id="12"/>
    <tableColumn name="Rush_YPA" id="13"/>
    <tableColumn name="Rush_TDs" id="14"/>
    <tableColumn name="Fumbles" id="15"/>
    <tableColumn name="Col_FPPG" id="16"/>
    <tableColumn name="Rec_Percentage" id="17"/>
    <tableColumn name="TD_Percentage" id="18"/>
    <tableColumn name="Dominator" id="19"/>
    <tableColumn name="Vac_Tar" id="20"/>
    <tableColumn name="Age" id="21"/>
    <tableColumn name="Height" id="22"/>
    <tableColumn name="Breakout Age" id="23"/>
  </tableColumns>
  <tableStyleInfo name="202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hefantasyfootballers.com/college/eric-mcalister/" TargetMode="External"/><Relationship Id="rId20" Type="http://schemas.openxmlformats.org/officeDocument/2006/relationships/hyperlink" Target="https://www.thefantasyfootballers.com/college/dezhaun-stribling/" TargetMode="External"/><Relationship Id="rId42" Type="http://schemas.openxmlformats.org/officeDocument/2006/relationships/hyperlink" Target="https://www.thefantasyfootballers.com/college/jordan-hudson/" TargetMode="External"/><Relationship Id="rId41" Type="http://schemas.openxmlformats.org/officeDocument/2006/relationships/hyperlink" Target="https://www.thefantasyfootballers.com/college/chase-roberts/" TargetMode="External"/><Relationship Id="rId22" Type="http://schemas.openxmlformats.org/officeDocument/2006/relationships/hyperlink" Target="https://www.thefantasyfootballers.com/college/zavion-thomas/" TargetMode="External"/><Relationship Id="rId44" Type="http://schemas.openxmlformats.org/officeDocument/2006/relationships/hyperlink" Target="https://www.thefantasyfootballers.com/college/dillon-bell/" TargetMode="External"/><Relationship Id="rId21" Type="http://schemas.openxmlformats.org/officeDocument/2006/relationships/hyperlink" Target="https://www.thefantasyfootballers.com/college/caleb-douglas/" TargetMode="External"/><Relationship Id="rId43" Type="http://schemas.openxmlformats.org/officeDocument/2006/relationships/hyperlink" Target="https://www.thefantasyfootballers.com/college/aaron-anderson/" TargetMode="External"/><Relationship Id="rId24" Type="http://schemas.openxmlformats.org/officeDocument/2006/relationships/hyperlink" Target="https://www.thefantasyfootballers.com/college/colbie-young/" TargetMode="External"/><Relationship Id="rId46" Type="http://schemas.openxmlformats.org/officeDocument/2006/relationships/hyperlink" Target="https://www.thefantasyfootballers.com/college/jeff-caldwell/" TargetMode="External"/><Relationship Id="rId23" Type="http://schemas.openxmlformats.org/officeDocument/2006/relationships/hyperlink" Target="https://www.thefantasyfootballers.com/college/kaden-wetjen/" TargetMode="External"/><Relationship Id="rId45" Type="http://schemas.openxmlformats.org/officeDocument/2006/relationships/hyperlink" Target="https://www.thefantasyfootballers.com/college/vinny-anthony-ii/" TargetMode="External"/><Relationship Id="rId1" Type="http://schemas.openxmlformats.org/officeDocument/2006/relationships/hyperlink" Target="https://www.thefantasyfootballers.com/college/jordyn-tyson/" TargetMode="External"/><Relationship Id="rId2" Type="http://schemas.openxmlformats.org/officeDocument/2006/relationships/hyperlink" Target="https://www.thefantasyfootballers.com/college/carnell-tate/" TargetMode="External"/><Relationship Id="rId3" Type="http://schemas.openxmlformats.org/officeDocument/2006/relationships/hyperlink" Target="https://www.thefantasyfootballers.com/college/makai-lemon/" TargetMode="External"/><Relationship Id="rId4" Type="http://schemas.openxmlformats.org/officeDocument/2006/relationships/hyperlink" Target="https://www.thefantasyfootballers.com/college/kevin-concepcion/" TargetMode="External"/><Relationship Id="rId9" Type="http://schemas.openxmlformats.org/officeDocument/2006/relationships/hyperlink" Target="https://www.thefantasyfootballers.com/college/chris-brazzell-ii/" TargetMode="External"/><Relationship Id="rId26" Type="http://schemas.openxmlformats.org/officeDocument/2006/relationships/hyperlink" Target="https://www.thefantasyfootballers.com/college/kendrick-law/" TargetMode="External"/><Relationship Id="rId25" Type="http://schemas.openxmlformats.org/officeDocument/2006/relationships/hyperlink" Target="https://www.thefantasyfootballers.com/college/reginald-virgil/" TargetMode="External"/><Relationship Id="rId47" Type="http://schemas.openxmlformats.org/officeDocument/2006/relationships/drawing" Target="../drawings/drawing4.xml"/><Relationship Id="rId28" Type="http://schemas.openxmlformats.org/officeDocument/2006/relationships/hyperlink" Target="https://www.thefantasyfootballers.com/college/barion-brown/" TargetMode="External"/><Relationship Id="rId27" Type="http://schemas.openxmlformats.org/officeDocument/2006/relationships/hyperlink" Target="https://www.thefantasyfootballers.com/college/kevin-coleman-jr/" TargetMode="External"/><Relationship Id="rId5" Type="http://schemas.openxmlformats.org/officeDocument/2006/relationships/hyperlink" Target="https://www.thefantasyfootballers.com/college/denzel-boston/" TargetMode="External"/><Relationship Id="rId6" Type="http://schemas.openxmlformats.org/officeDocument/2006/relationships/hyperlink" Target="https://www.thefantasyfootballers.com/college/omar-cooper-jr/" TargetMode="External"/><Relationship Id="rId29" Type="http://schemas.openxmlformats.org/officeDocument/2006/relationships/hyperlink" Target="https://www.thefantasyfootballers.com/college/josh-cameron/" TargetMode="External"/><Relationship Id="rId7" Type="http://schemas.openxmlformats.org/officeDocument/2006/relationships/hyperlink" Target="https://www.thefantasyfootballers.com/college/elijah-sarratt/" TargetMode="External"/><Relationship Id="rId8" Type="http://schemas.openxmlformats.org/officeDocument/2006/relationships/hyperlink" Target="https://www.thefantasyfootballers.com/college/germie-bernard/" TargetMode="External"/><Relationship Id="rId31" Type="http://schemas.openxmlformats.org/officeDocument/2006/relationships/hyperlink" Target="https://www.thefantasyfootballers.com/college/malik-benson/" TargetMode="External"/><Relationship Id="rId30" Type="http://schemas.openxmlformats.org/officeDocument/2006/relationships/hyperlink" Target="https://www.thefantasyfootballers.com/college/emmanuel-henderson-jr/" TargetMode="External"/><Relationship Id="rId11" Type="http://schemas.openxmlformats.org/officeDocument/2006/relationships/hyperlink" Target="https://www.thefantasyfootballers.com/college/jakobi-lane/" TargetMode="External"/><Relationship Id="rId33" Type="http://schemas.openxmlformats.org/officeDocument/2006/relationships/hyperlink" Target="https://www.thefantasyfootballers.com/college/caullin-lacy/" TargetMode="External"/><Relationship Id="rId10" Type="http://schemas.openxmlformats.org/officeDocument/2006/relationships/hyperlink" Target="https://www.thefantasyfootballers.com/college/chris-bell/" TargetMode="External"/><Relationship Id="rId32" Type="http://schemas.openxmlformats.org/officeDocument/2006/relationships/hyperlink" Target="https://www.thefantasyfootballers.com/college/cj-daniels/" TargetMode="External"/><Relationship Id="rId13" Type="http://schemas.openxmlformats.org/officeDocument/2006/relationships/hyperlink" Target="https://www.thefantasyfootballers.com/college/zachariah-branch/" TargetMode="External"/><Relationship Id="rId35" Type="http://schemas.openxmlformats.org/officeDocument/2006/relationships/hyperlink" Target="https://www.thefantasyfootballers.com/college/chris-hilton-jr/" TargetMode="External"/><Relationship Id="rId12" Type="http://schemas.openxmlformats.org/officeDocument/2006/relationships/hyperlink" Target="https://www.thefantasyfootballers.com/college/malachi-fields/" TargetMode="External"/><Relationship Id="rId34" Type="http://schemas.openxmlformats.org/officeDocument/2006/relationships/hyperlink" Target="https://www.thefantasyfootballers.com/college/donaven-mcculley/" TargetMode="External"/><Relationship Id="rId15" Type="http://schemas.openxmlformats.org/officeDocument/2006/relationships/hyperlink" Target="https://www.thefantasyfootballers.com/college/skyler-bell/" TargetMode="External"/><Relationship Id="rId37" Type="http://schemas.openxmlformats.org/officeDocument/2006/relationships/hyperlink" Target="https://www.thefantasyfootballers.com/college/harrison-wallace-iii/" TargetMode="External"/><Relationship Id="rId14" Type="http://schemas.openxmlformats.org/officeDocument/2006/relationships/hyperlink" Target="https://www.thefantasyfootballers.com/college/antonio-williams/" TargetMode="External"/><Relationship Id="rId36" Type="http://schemas.openxmlformats.org/officeDocument/2006/relationships/hyperlink" Target="https://www.thefantasyfootballers.com/college/jmichael-sturdivant/" TargetMode="External"/><Relationship Id="rId17" Type="http://schemas.openxmlformats.org/officeDocument/2006/relationships/hyperlink" Target="https://www.thefantasyfootballers.com/college/ted-hurst/" TargetMode="External"/><Relationship Id="rId39" Type="http://schemas.openxmlformats.org/officeDocument/2006/relationships/hyperlink" Target="https://www.thefantasyfootballers.com/college/eric-rivers-2/" TargetMode="External"/><Relationship Id="rId16" Type="http://schemas.openxmlformats.org/officeDocument/2006/relationships/hyperlink" Target="https://www.thefantasyfootballers.com/college/bryce-lance/" TargetMode="External"/><Relationship Id="rId38" Type="http://schemas.openxmlformats.org/officeDocument/2006/relationships/hyperlink" Target="https://www.thefantasyfootballers.com/college/jalen-walthall/" TargetMode="External"/><Relationship Id="rId19" Type="http://schemas.openxmlformats.org/officeDocument/2006/relationships/hyperlink" Target="https://www.thefantasyfootballers.com/college/brenen-thompson/" TargetMode="External"/><Relationship Id="rId18" Type="http://schemas.openxmlformats.org/officeDocument/2006/relationships/hyperlink" Target="https://www.thefantasyfootballers.com/college/deion-burks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hefantasyfootballers.com/college/eric-mcalister/" TargetMode="External"/><Relationship Id="rId20" Type="http://schemas.openxmlformats.org/officeDocument/2006/relationships/hyperlink" Target="https://www.thefantasyfootballers.com/college/dezhaun-stribling/" TargetMode="External"/><Relationship Id="rId42" Type="http://schemas.openxmlformats.org/officeDocument/2006/relationships/hyperlink" Target="https://www.thefantasyfootballers.com/college/jordan-hudson/" TargetMode="External"/><Relationship Id="rId41" Type="http://schemas.openxmlformats.org/officeDocument/2006/relationships/hyperlink" Target="https://www.thefantasyfootballers.com/college/chase-roberts/" TargetMode="External"/><Relationship Id="rId22" Type="http://schemas.openxmlformats.org/officeDocument/2006/relationships/hyperlink" Target="https://www.thefantasyfootballers.com/college/zavion-thomas/" TargetMode="External"/><Relationship Id="rId44" Type="http://schemas.openxmlformats.org/officeDocument/2006/relationships/hyperlink" Target="https://www.thefantasyfootballers.com/college/dillon-bell/" TargetMode="External"/><Relationship Id="rId21" Type="http://schemas.openxmlformats.org/officeDocument/2006/relationships/hyperlink" Target="https://www.thefantasyfootballers.com/college/caleb-douglas/" TargetMode="External"/><Relationship Id="rId43" Type="http://schemas.openxmlformats.org/officeDocument/2006/relationships/hyperlink" Target="https://www.thefantasyfootballers.com/college/aaron-anderson/" TargetMode="External"/><Relationship Id="rId24" Type="http://schemas.openxmlformats.org/officeDocument/2006/relationships/hyperlink" Target="https://www.thefantasyfootballers.com/college/colbie-young/" TargetMode="External"/><Relationship Id="rId46" Type="http://schemas.openxmlformats.org/officeDocument/2006/relationships/hyperlink" Target="https://www.thefantasyfootballers.com/college/jeff-caldwell/" TargetMode="External"/><Relationship Id="rId23" Type="http://schemas.openxmlformats.org/officeDocument/2006/relationships/hyperlink" Target="https://www.thefantasyfootballers.com/college/kaden-wetjen/" TargetMode="External"/><Relationship Id="rId45" Type="http://schemas.openxmlformats.org/officeDocument/2006/relationships/hyperlink" Target="https://www.thefantasyfootballers.com/college/vinny-anthony-ii/" TargetMode="External"/><Relationship Id="rId1" Type="http://schemas.openxmlformats.org/officeDocument/2006/relationships/hyperlink" Target="https://www.thefantasyfootballers.com/college/jordyn-tyson/" TargetMode="External"/><Relationship Id="rId2" Type="http://schemas.openxmlformats.org/officeDocument/2006/relationships/hyperlink" Target="https://www.thefantasyfootballers.com/college/carnell-tate/" TargetMode="External"/><Relationship Id="rId3" Type="http://schemas.openxmlformats.org/officeDocument/2006/relationships/hyperlink" Target="https://www.thefantasyfootballers.com/college/makai-lemon/" TargetMode="External"/><Relationship Id="rId4" Type="http://schemas.openxmlformats.org/officeDocument/2006/relationships/hyperlink" Target="https://www.thefantasyfootballers.com/college/kevin-concepcion/" TargetMode="External"/><Relationship Id="rId9" Type="http://schemas.openxmlformats.org/officeDocument/2006/relationships/hyperlink" Target="https://www.thefantasyfootballers.com/college/chris-brazzell-ii/" TargetMode="External"/><Relationship Id="rId26" Type="http://schemas.openxmlformats.org/officeDocument/2006/relationships/hyperlink" Target="https://www.thefantasyfootballers.com/college/kendrick-law/" TargetMode="External"/><Relationship Id="rId25" Type="http://schemas.openxmlformats.org/officeDocument/2006/relationships/hyperlink" Target="https://www.thefantasyfootballers.com/college/reginald-virgil/" TargetMode="External"/><Relationship Id="rId47" Type="http://schemas.openxmlformats.org/officeDocument/2006/relationships/drawing" Target="../drawings/drawing8.xml"/><Relationship Id="rId28" Type="http://schemas.openxmlformats.org/officeDocument/2006/relationships/hyperlink" Target="https://www.thefantasyfootballers.com/college/barion-brown/" TargetMode="External"/><Relationship Id="rId27" Type="http://schemas.openxmlformats.org/officeDocument/2006/relationships/hyperlink" Target="https://www.thefantasyfootballers.com/college/kevin-coleman-jr/" TargetMode="External"/><Relationship Id="rId5" Type="http://schemas.openxmlformats.org/officeDocument/2006/relationships/hyperlink" Target="https://www.thefantasyfootballers.com/college/denzel-boston/" TargetMode="External"/><Relationship Id="rId6" Type="http://schemas.openxmlformats.org/officeDocument/2006/relationships/hyperlink" Target="https://www.thefantasyfootballers.com/college/omar-cooper-jr/" TargetMode="External"/><Relationship Id="rId29" Type="http://schemas.openxmlformats.org/officeDocument/2006/relationships/hyperlink" Target="https://www.thefantasyfootballers.com/college/josh-cameron/" TargetMode="External"/><Relationship Id="rId7" Type="http://schemas.openxmlformats.org/officeDocument/2006/relationships/hyperlink" Target="https://www.thefantasyfootballers.com/college/elijah-sarratt/" TargetMode="External"/><Relationship Id="rId8" Type="http://schemas.openxmlformats.org/officeDocument/2006/relationships/hyperlink" Target="https://www.thefantasyfootballers.com/college/germie-bernard/" TargetMode="External"/><Relationship Id="rId31" Type="http://schemas.openxmlformats.org/officeDocument/2006/relationships/hyperlink" Target="https://www.thefantasyfootballers.com/college/malik-benson/" TargetMode="External"/><Relationship Id="rId30" Type="http://schemas.openxmlformats.org/officeDocument/2006/relationships/hyperlink" Target="https://www.thefantasyfootballers.com/college/emmanuel-henderson-jr/" TargetMode="External"/><Relationship Id="rId11" Type="http://schemas.openxmlformats.org/officeDocument/2006/relationships/hyperlink" Target="https://www.thefantasyfootballers.com/college/jakobi-lane/" TargetMode="External"/><Relationship Id="rId33" Type="http://schemas.openxmlformats.org/officeDocument/2006/relationships/hyperlink" Target="https://www.thefantasyfootballers.com/college/caullin-lacy/" TargetMode="External"/><Relationship Id="rId10" Type="http://schemas.openxmlformats.org/officeDocument/2006/relationships/hyperlink" Target="https://www.thefantasyfootballers.com/college/chris-bell/" TargetMode="External"/><Relationship Id="rId32" Type="http://schemas.openxmlformats.org/officeDocument/2006/relationships/hyperlink" Target="https://www.thefantasyfootballers.com/college/cj-daniels/" TargetMode="External"/><Relationship Id="rId13" Type="http://schemas.openxmlformats.org/officeDocument/2006/relationships/hyperlink" Target="https://www.thefantasyfootballers.com/college/zachariah-branch/" TargetMode="External"/><Relationship Id="rId35" Type="http://schemas.openxmlformats.org/officeDocument/2006/relationships/hyperlink" Target="https://www.thefantasyfootballers.com/college/chris-hilton-jr/" TargetMode="External"/><Relationship Id="rId12" Type="http://schemas.openxmlformats.org/officeDocument/2006/relationships/hyperlink" Target="https://www.thefantasyfootballers.com/college/malachi-fields/" TargetMode="External"/><Relationship Id="rId34" Type="http://schemas.openxmlformats.org/officeDocument/2006/relationships/hyperlink" Target="https://www.thefantasyfootballers.com/college/donaven-mcculley/" TargetMode="External"/><Relationship Id="rId15" Type="http://schemas.openxmlformats.org/officeDocument/2006/relationships/hyperlink" Target="https://www.thefantasyfootballers.com/college/skyler-bell/" TargetMode="External"/><Relationship Id="rId37" Type="http://schemas.openxmlformats.org/officeDocument/2006/relationships/hyperlink" Target="https://www.thefantasyfootballers.com/college/harrison-wallace-iii/" TargetMode="External"/><Relationship Id="rId14" Type="http://schemas.openxmlformats.org/officeDocument/2006/relationships/hyperlink" Target="https://www.thefantasyfootballers.com/college/antonio-williams/" TargetMode="External"/><Relationship Id="rId36" Type="http://schemas.openxmlformats.org/officeDocument/2006/relationships/hyperlink" Target="https://www.thefantasyfootballers.com/college/jmichael-sturdivant/" TargetMode="External"/><Relationship Id="rId17" Type="http://schemas.openxmlformats.org/officeDocument/2006/relationships/hyperlink" Target="https://www.thefantasyfootballers.com/college/ted-hurst/" TargetMode="External"/><Relationship Id="rId39" Type="http://schemas.openxmlformats.org/officeDocument/2006/relationships/hyperlink" Target="https://www.thefantasyfootballers.com/college/eric-rivers-2/" TargetMode="External"/><Relationship Id="rId16" Type="http://schemas.openxmlformats.org/officeDocument/2006/relationships/hyperlink" Target="https://www.thefantasyfootballers.com/college/bryce-lance/" TargetMode="External"/><Relationship Id="rId38" Type="http://schemas.openxmlformats.org/officeDocument/2006/relationships/hyperlink" Target="https://www.thefantasyfootballers.com/college/jalen-walthall/" TargetMode="External"/><Relationship Id="rId19" Type="http://schemas.openxmlformats.org/officeDocument/2006/relationships/hyperlink" Target="https://www.thefantasyfootballers.com/college/brenen-thompson/" TargetMode="External"/><Relationship Id="rId18" Type="http://schemas.openxmlformats.org/officeDocument/2006/relationships/hyperlink" Target="https://www.thefantasyfootballers.com/college/deion-burk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0.88"/>
    <col customWidth="1" min="2" max="2" width="16.13"/>
    <col customWidth="1" min="3" max="22" width="13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21</v>
      </c>
    </row>
    <row r="2">
      <c r="A2" s="4" t="s">
        <v>22</v>
      </c>
      <c r="B2" s="4" t="s">
        <v>23</v>
      </c>
      <c r="C2" s="5">
        <v>12.0</v>
      </c>
      <c r="D2" s="4" t="s">
        <v>24</v>
      </c>
      <c r="E2" s="4">
        <v>12.0</v>
      </c>
      <c r="F2" s="5">
        <v>40.0</v>
      </c>
      <c r="G2" s="5">
        <v>746.0</v>
      </c>
      <c r="H2" s="6">
        <f t="shared" ref="H2:H21" si="1">G2/E2</f>
        <v>62.16666667</v>
      </c>
      <c r="I2" s="6">
        <v>18.65</v>
      </c>
      <c r="J2" s="5">
        <v>7.0</v>
      </c>
      <c r="K2" s="5">
        <v>2.0</v>
      </c>
      <c r="L2" s="5">
        <v>75.0</v>
      </c>
      <c r="M2" s="6">
        <v>37.5</v>
      </c>
      <c r="N2" s="5">
        <v>1.0</v>
      </c>
      <c r="O2" s="5">
        <v>0.0</v>
      </c>
      <c r="P2" s="6">
        <f t="shared" ref="P2:P21" si="2">(F2*0.5+G2/10+J2*6+L2/10+N2*6-O2*2)/E2</f>
        <v>12.50833333</v>
      </c>
      <c r="Q2" s="7">
        <f>40/287*100</f>
        <v>13.93728223</v>
      </c>
      <c r="R2" s="7">
        <f>7/49*100</f>
        <v>14.28571429</v>
      </c>
      <c r="S2" s="7">
        <f>(746+7)/(4449+49)*100</f>
        <v>16.74077368</v>
      </c>
      <c r="T2" s="6">
        <v>47.41</v>
      </c>
      <c r="U2" s="8">
        <v>21.26027397260274</v>
      </c>
      <c r="V2" s="7">
        <f>6*12</f>
        <v>72</v>
      </c>
    </row>
    <row r="3">
      <c r="A3" s="4" t="s">
        <v>25</v>
      </c>
      <c r="B3" s="4" t="s">
        <v>23</v>
      </c>
      <c r="C3" s="5">
        <v>15.0</v>
      </c>
      <c r="D3" s="4" t="s">
        <v>26</v>
      </c>
      <c r="E3" s="4">
        <v>13.0</v>
      </c>
      <c r="F3" s="5">
        <v>77.0</v>
      </c>
      <c r="G3" s="5">
        <v>1163.0</v>
      </c>
      <c r="H3" s="6">
        <f t="shared" si="1"/>
        <v>89.46153846</v>
      </c>
      <c r="I3" s="6">
        <v>15.1</v>
      </c>
      <c r="J3" s="5">
        <v>10.0</v>
      </c>
      <c r="K3" s="5">
        <v>1.0</v>
      </c>
      <c r="L3" s="5">
        <v>1.0</v>
      </c>
      <c r="M3" s="6">
        <v>1.0</v>
      </c>
      <c r="N3" s="5">
        <v>0.0</v>
      </c>
      <c r="O3" s="5">
        <v>0.0</v>
      </c>
      <c r="P3" s="6">
        <f t="shared" si="2"/>
        <v>16.53076923</v>
      </c>
      <c r="Q3" s="7">
        <f>77/287*100</f>
        <v>26.82926829</v>
      </c>
      <c r="R3" s="7">
        <f>10/49*100</f>
        <v>20.40816327</v>
      </c>
      <c r="S3" s="7">
        <f>(1163+10)/(4449+49)*100</f>
        <v>26.078257</v>
      </c>
      <c r="T3" s="6">
        <f>44/262*100</f>
        <v>16.79389313</v>
      </c>
      <c r="U3" s="8">
        <v>21.016438356164382</v>
      </c>
      <c r="V3" s="7">
        <f>6*12+1</f>
        <v>73</v>
      </c>
    </row>
    <row r="4">
      <c r="A4" s="4" t="s">
        <v>27</v>
      </c>
      <c r="B4" s="4" t="s">
        <v>28</v>
      </c>
      <c r="C4" s="5">
        <v>17.0</v>
      </c>
      <c r="D4" s="4" t="s">
        <v>29</v>
      </c>
      <c r="E4" s="4">
        <v>13.0</v>
      </c>
      <c r="F4" s="5">
        <v>62.0</v>
      </c>
      <c r="G4" s="5">
        <v>1327.0</v>
      </c>
      <c r="H4" s="6">
        <f t="shared" si="1"/>
        <v>102.0769231</v>
      </c>
      <c r="I4" s="6">
        <v>21.4</v>
      </c>
      <c r="J4" s="5">
        <v>14.0</v>
      </c>
      <c r="K4" s="5">
        <v>9.0</v>
      </c>
      <c r="L4" s="5">
        <v>20.0</v>
      </c>
      <c r="M4" s="6">
        <v>2.22</v>
      </c>
      <c r="N4" s="5">
        <v>1.0</v>
      </c>
      <c r="O4" s="5">
        <v>2.0</v>
      </c>
      <c r="P4" s="6">
        <f t="shared" si="2"/>
        <v>19.36153846</v>
      </c>
      <c r="Q4" s="7">
        <f>62/262*100</f>
        <v>23.66412214</v>
      </c>
      <c r="R4" s="7">
        <f>14/36*100</f>
        <v>38.88888889</v>
      </c>
      <c r="S4" s="7">
        <f>(1327+14)/(4164+36)*100</f>
        <v>31.92857143</v>
      </c>
      <c r="T4" s="6">
        <v>32.77</v>
      </c>
      <c r="U4" s="8">
        <v>21.063013698630137</v>
      </c>
      <c r="V4" s="7">
        <f>6*12+2</f>
        <v>74</v>
      </c>
    </row>
    <row r="5">
      <c r="A5" s="4" t="s">
        <v>30</v>
      </c>
      <c r="B5" s="4" t="s">
        <v>31</v>
      </c>
      <c r="C5" s="5">
        <v>21.0</v>
      </c>
      <c r="D5" s="4" t="s">
        <v>32</v>
      </c>
      <c r="E5" s="4">
        <v>12.0</v>
      </c>
      <c r="F5" s="5">
        <v>43.0</v>
      </c>
      <c r="G5" s="5">
        <v>611.0</v>
      </c>
      <c r="H5" s="6">
        <f t="shared" si="1"/>
        <v>50.91666667</v>
      </c>
      <c r="I5" s="6">
        <v>14.21</v>
      </c>
      <c r="J5" s="5">
        <v>5.0</v>
      </c>
      <c r="K5" s="5">
        <v>14.0</v>
      </c>
      <c r="L5" s="5">
        <v>89.0</v>
      </c>
      <c r="M5" s="6">
        <v>6.36</v>
      </c>
      <c r="N5" s="5">
        <v>0.0</v>
      </c>
      <c r="O5" s="5">
        <v>6.0</v>
      </c>
      <c r="P5" s="6">
        <f t="shared" si="2"/>
        <v>9.125</v>
      </c>
      <c r="Q5" s="7">
        <f>43/211*100</f>
        <v>20.37914692</v>
      </c>
      <c r="R5" s="7">
        <f>5/15*100</f>
        <v>33.33333333</v>
      </c>
      <c r="S5" s="7">
        <f>(5+611)/(2444+15)*100</f>
        <v>25.05083367</v>
      </c>
      <c r="T5" s="6">
        <v>42.23</v>
      </c>
      <c r="U5" s="8">
        <v>21.33150684931507</v>
      </c>
      <c r="V5" s="7">
        <f>5*12+11</f>
        <v>71</v>
      </c>
    </row>
    <row r="6">
      <c r="A6" s="4" t="s">
        <v>33</v>
      </c>
      <c r="B6" s="4" t="s">
        <v>34</v>
      </c>
      <c r="C6" s="5">
        <v>22.0</v>
      </c>
      <c r="D6" s="4" t="s">
        <v>35</v>
      </c>
      <c r="E6" s="4">
        <v>15.0</v>
      </c>
      <c r="F6" s="5">
        <v>111.0</v>
      </c>
      <c r="G6" s="5">
        <v>1540.0</v>
      </c>
      <c r="H6" s="6">
        <f t="shared" si="1"/>
        <v>102.6666667</v>
      </c>
      <c r="I6" s="6">
        <v>13.87</v>
      </c>
      <c r="J6" s="5">
        <v>18.0</v>
      </c>
      <c r="K6" s="5">
        <v>0.0</v>
      </c>
      <c r="L6" s="5">
        <v>0.0</v>
      </c>
      <c r="M6" s="6">
        <v>0.0</v>
      </c>
      <c r="N6" s="5">
        <v>0.0</v>
      </c>
      <c r="O6" s="5">
        <v>0.0</v>
      </c>
      <c r="P6" s="6">
        <f t="shared" si="2"/>
        <v>21.16666667</v>
      </c>
      <c r="Q6" s="7">
        <f>111/426*100</f>
        <v>26.05633803</v>
      </c>
      <c r="R6" s="7">
        <f>18/61*100</f>
        <v>29.50819672</v>
      </c>
      <c r="S6" s="7">
        <f>(18+1540)/(6024+61)*100</f>
        <v>25.60394412</v>
      </c>
      <c r="T6" s="6">
        <v>52.63</v>
      </c>
      <c r="U6" s="8">
        <v>21.293150684931508</v>
      </c>
      <c r="V6" s="7">
        <f>6*12+1</f>
        <v>73</v>
      </c>
    </row>
    <row r="7">
      <c r="A7" s="4" t="s">
        <v>36</v>
      </c>
      <c r="B7" s="4" t="s">
        <v>37</v>
      </c>
      <c r="C7" s="5">
        <v>25.0</v>
      </c>
      <c r="D7" s="4" t="s">
        <v>38</v>
      </c>
      <c r="E7" s="4">
        <v>12.0</v>
      </c>
      <c r="F7" s="5">
        <v>65.0</v>
      </c>
      <c r="G7" s="5">
        <v>1192.0</v>
      </c>
      <c r="H7" s="6">
        <f t="shared" si="1"/>
        <v>99.33333333</v>
      </c>
      <c r="I7" s="6">
        <v>18.34</v>
      </c>
      <c r="J7" s="5">
        <v>8.0</v>
      </c>
      <c r="K7" s="5">
        <v>1.0</v>
      </c>
      <c r="L7" s="5">
        <v>6.0</v>
      </c>
      <c r="M7" s="6">
        <v>6.0</v>
      </c>
      <c r="N7" s="5">
        <v>0.0</v>
      </c>
      <c r="O7" s="5">
        <v>1.0</v>
      </c>
      <c r="P7" s="6">
        <f t="shared" si="2"/>
        <v>16.525</v>
      </c>
      <c r="Q7" s="7">
        <f>65/233*100</f>
        <v>27.89699571</v>
      </c>
      <c r="R7" s="7">
        <f>8/21*100</f>
        <v>38.0952381</v>
      </c>
      <c r="S7" s="7">
        <f>(8+1192)/(3235+21)*100</f>
        <v>36.85503686</v>
      </c>
      <c r="T7" s="6">
        <v>48.927</v>
      </c>
      <c r="U7" s="8">
        <v>22.13150684931507</v>
      </c>
      <c r="V7" s="7">
        <f>6*12</f>
        <v>72</v>
      </c>
    </row>
    <row r="8">
      <c r="A8" s="4" t="s">
        <v>39</v>
      </c>
      <c r="B8" s="4" t="s">
        <v>40</v>
      </c>
      <c r="C8" s="5">
        <v>33.0</v>
      </c>
      <c r="D8" s="4" t="s">
        <v>41</v>
      </c>
      <c r="E8" s="4">
        <v>15.0</v>
      </c>
      <c r="F8" s="5">
        <v>59.0</v>
      </c>
      <c r="G8" s="5">
        <v>1167.0</v>
      </c>
      <c r="H8" s="6">
        <f t="shared" si="1"/>
        <v>77.8</v>
      </c>
      <c r="I8" s="6">
        <v>19.78</v>
      </c>
      <c r="J8" s="5">
        <v>13.0</v>
      </c>
      <c r="K8" s="5">
        <v>1.0</v>
      </c>
      <c r="L8" s="5">
        <v>36.0</v>
      </c>
      <c r="M8" s="6">
        <v>36.0</v>
      </c>
      <c r="N8" s="5">
        <v>1.0</v>
      </c>
      <c r="O8" s="5">
        <v>0.0</v>
      </c>
      <c r="P8" s="6">
        <f t="shared" si="2"/>
        <v>15.58666667</v>
      </c>
      <c r="Q8" s="7">
        <f>59/326*100</f>
        <v>18.09815951</v>
      </c>
      <c r="R8" s="7">
        <f>13/40*100</f>
        <v>32.5</v>
      </c>
      <c r="S8" s="7">
        <f>(13+1167)/(4325+40)*100</f>
        <v>27.03321879</v>
      </c>
      <c r="T8" s="6">
        <f>16/388*100</f>
        <v>4.12371134</v>
      </c>
      <c r="U8" s="8">
        <v>21.293150684931508</v>
      </c>
      <c r="V8" s="7">
        <f t="shared" ref="V8:V9" si="3">6*12+4</f>
        <v>76</v>
      </c>
    </row>
    <row r="9">
      <c r="A9" s="4" t="s">
        <v>42</v>
      </c>
      <c r="B9" s="4" t="s">
        <v>43</v>
      </c>
      <c r="C9" s="5">
        <v>34.0</v>
      </c>
      <c r="D9" s="4" t="s">
        <v>44</v>
      </c>
      <c r="E9" s="4">
        <v>13.0</v>
      </c>
      <c r="F9" s="5">
        <v>101.0</v>
      </c>
      <c r="G9" s="5">
        <v>1275.0</v>
      </c>
      <c r="H9" s="6">
        <f t="shared" si="1"/>
        <v>98.07692308</v>
      </c>
      <c r="I9" s="6">
        <v>12.62</v>
      </c>
      <c r="J9" s="5">
        <v>11.0</v>
      </c>
      <c r="K9" s="5">
        <v>0.0</v>
      </c>
      <c r="L9" s="5">
        <v>0.0</v>
      </c>
      <c r="M9" s="6">
        <v>0.0</v>
      </c>
      <c r="N9" s="5">
        <v>0.0</v>
      </c>
      <c r="O9" s="5">
        <v>1.0</v>
      </c>
      <c r="P9" s="6">
        <f t="shared" si="2"/>
        <v>18.61538462</v>
      </c>
      <c r="Q9" s="7">
        <f>101/365*100</f>
        <v>27.67123288</v>
      </c>
      <c r="R9" s="7">
        <f>11/35*100</f>
        <v>31.42857143</v>
      </c>
      <c r="S9" s="7">
        <f>(11+1275)/(4365+35)*100</f>
        <v>29.22727273</v>
      </c>
      <c r="T9" s="6">
        <v>21.96</v>
      </c>
      <c r="U9" s="8">
        <v>22.583561643835615</v>
      </c>
      <c r="V9" s="7">
        <f t="shared" si="3"/>
        <v>76</v>
      </c>
    </row>
    <row r="10">
      <c r="A10" s="4" t="s">
        <v>45</v>
      </c>
      <c r="B10" s="4" t="s">
        <v>46</v>
      </c>
      <c r="C10" s="5">
        <v>42.0</v>
      </c>
      <c r="D10" s="4" t="s">
        <v>47</v>
      </c>
      <c r="E10" s="4">
        <v>11.0</v>
      </c>
      <c r="F10" s="5">
        <v>56.0</v>
      </c>
      <c r="G10" s="5">
        <v>764.0</v>
      </c>
      <c r="H10" s="6">
        <f t="shared" si="1"/>
        <v>69.45454545</v>
      </c>
      <c r="I10" s="6">
        <v>13.64</v>
      </c>
      <c r="J10" s="5">
        <v>4.0</v>
      </c>
      <c r="K10" s="5">
        <v>23.0</v>
      </c>
      <c r="L10" s="5">
        <v>161.0</v>
      </c>
      <c r="M10" s="6">
        <v>7.0</v>
      </c>
      <c r="N10" s="5">
        <v>2.0</v>
      </c>
      <c r="O10" s="5">
        <v>1.0</v>
      </c>
      <c r="P10" s="6">
        <f t="shared" si="2"/>
        <v>14.04545455</v>
      </c>
      <c r="Q10" s="7">
        <f>56/257*100</f>
        <v>21.78988327</v>
      </c>
      <c r="R10" s="7">
        <f>4/18*100</f>
        <v>22.22222222</v>
      </c>
      <c r="S10" s="7">
        <f>(4+764)/(2858+18)*100</f>
        <v>26.70375522</v>
      </c>
      <c r="T10" s="6">
        <v>3.098</v>
      </c>
      <c r="U10" s="8">
        <v>21.586301369863012</v>
      </c>
      <c r="V10" s="7">
        <f>6*12+1</f>
        <v>73</v>
      </c>
    </row>
    <row r="11">
      <c r="A11" s="4" t="s">
        <v>48</v>
      </c>
      <c r="B11" s="4" t="s">
        <v>49</v>
      </c>
      <c r="C11" s="5">
        <v>46.0</v>
      </c>
      <c r="D11" s="4" t="s">
        <v>26</v>
      </c>
      <c r="E11" s="4">
        <v>13.0</v>
      </c>
      <c r="F11" s="5">
        <v>56.0</v>
      </c>
      <c r="G11" s="5">
        <v>904.0</v>
      </c>
      <c r="H11" s="6">
        <f t="shared" si="1"/>
        <v>69.53846154</v>
      </c>
      <c r="I11" s="6">
        <v>16.14</v>
      </c>
      <c r="J11" s="5">
        <v>8.0</v>
      </c>
      <c r="K11" s="5">
        <v>13.0</v>
      </c>
      <c r="L11" s="5">
        <v>43.0</v>
      </c>
      <c r="M11" s="6">
        <v>3.31</v>
      </c>
      <c r="N11" s="5">
        <v>0.0</v>
      </c>
      <c r="O11" s="5">
        <v>3.0</v>
      </c>
      <c r="P11" s="6">
        <f t="shared" si="2"/>
        <v>12.66923077</v>
      </c>
      <c r="Q11" s="7">
        <f>56/217*100</f>
        <v>25.80645161</v>
      </c>
      <c r="R11" s="7">
        <f>8/25*100</f>
        <v>32</v>
      </c>
      <c r="S11" s="7">
        <f>(8+904)/(2887+25)*100</f>
        <v>31.31868132</v>
      </c>
      <c r="T11" s="6">
        <f>44/262*100</f>
        <v>16.79389313</v>
      </c>
      <c r="U11" s="8">
        <v>20.832876712328765</v>
      </c>
      <c r="V11" s="7">
        <f>5*12+9</f>
        <v>69</v>
      </c>
    </row>
    <row r="12">
      <c r="A12" s="4" t="s">
        <v>50</v>
      </c>
      <c r="B12" s="4" t="s">
        <v>51</v>
      </c>
      <c r="C12" s="5">
        <v>49.0</v>
      </c>
      <c r="D12" s="4" t="s">
        <v>52</v>
      </c>
      <c r="E12" s="4">
        <v>13.0</v>
      </c>
      <c r="F12" s="5">
        <v>66.0</v>
      </c>
      <c r="G12" s="5">
        <v>1037.0</v>
      </c>
      <c r="H12" s="6">
        <f t="shared" si="1"/>
        <v>79.76923077</v>
      </c>
      <c r="I12" s="6">
        <v>15.71</v>
      </c>
      <c r="J12" s="5">
        <v>13.0</v>
      </c>
      <c r="K12" s="5">
        <v>0.0</v>
      </c>
      <c r="L12" s="5">
        <v>0.0</v>
      </c>
      <c r="M12" s="5">
        <v>0.0</v>
      </c>
      <c r="N12" s="5">
        <v>0.0</v>
      </c>
      <c r="O12" s="5">
        <v>0.0</v>
      </c>
      <c r="P12" s="6">
        <f t="shared" si="2"/>
        <v>16.51538462</v>
      </c>
      <c r="Q12" s="7">
        <f>66/253*100</f>
        <v>26.08695652</v>
      </c>
      <c r="R12" s="7">
        <f>13/37*100</f>
        <v>35.13513514</v>
      </c>
      <c r="S12" s="7">
        <f>(13+1037)/(3278+37)*100</f>
        <v>31.67420814</v>
      </c>
      <c r="T12" s="6">
        <v>17.056</v>
      </c>
      <c r="U12" s="8">
        <v>21.838356164383562</v>
      </c>
      <c r="V12" s="7">
        <f>6*12+4</f>
        <v>76</v>
      </c>
    </row>
    <row r="13">
      <c r="A13" s="4" t="s">
        <v>53</v>
      </c>
      <c r="B13" s="4" t="s">
        <v>54</v>
      </c>
      <c r="C13" s="5">
        <v>57.0</v>
      </c>
      <c r="D13" s="4" t="s">
        <v>55</v>
      </c>
      <c r="E13" s="4">
        <v>13.0</v>
      </c>
      <c r="F13" s="5">
        <v>49.0</v>
      </c>
      <c r="G13" s="5">
        <v>657.0</v>
      </c>
      <c r="H13" s="6">
        <f t="shared" si="1"/>
        <v>50.53846154</v>
      </c>
      <c r="I13" s="6">
        <v>13.41</v>
      </c>
      <c r="J13" s="5">
        <v>6.0</v>
      </c>
      <c r="K13" s="5">
        <v>1.0</v>
      </c>
      <c r="L13" s="5">
        <v>7.0</v>
      </c>
      <c r="M13" s="6">
        <v>7.0</v>
      </c>
      <c r="N13" s="5">
        <v>0.0</v>
      </c>
      <c r="O13" s="5">
        <v>0.0</v>
      </c>
      <c r="P13" s="6">
        <f t="shared" si="2"/>
        <v>9.761538462</v>
      </c>
      <c r="Q13" s="7">
        <f>49/317*100</f>
        <v>15.45741325</v>
      </c>
      <c r="R13" s="7">
        <f>6/33*100</f>
        <v>18.18181818</v>
      </c>
      <c r="S13" s="7">
        <f>(6+657)/(3910+33)*100</f>
        <v>16.81460817</v>
      </c>
      <c r="T13" s="6">
        <v>19.592</v>
      </c>
      <c r="U13" s="8">
        <v>23.78904109589041</v>
      </c>
      <c r="V13" s="7">
        <f>6*12+1</f>
        <v>73</v>
      </c>
    </row>
    <row r="14">
      <c r="A14" s="4" t="s">
        <v>56</v>
      </c>
      <c r="B14" s="4" t="s">
        <v>57</v>
      </c>
      <c r="C14" s="5">
        <v>59.0</v>
      </c>
      <c r="D14" s="4" t="s">
        <v>58</v>
      </c>
      <c r="E14" s="4">
        <v>14.0</v>
      </c>
      <c r="F14" s="5">
        <v>66.0</v>
      </c>
      <c r="G14" s="5">
        <v>1020.0</v>
      </c>
      <c r="H14" s="6">
        <f t="shared" si="1"/>
        <v>72.85714286</v>
      </c>
      <c r="I14" s="6">
        <v>15.45</v>
      </c>
      <c r="J14" s="5">
        <v>12.0</v>
      </c>
      <c r="K14" s="5">
        <v>0.0</v>
      </c>
      <c r="L14" s="5">
        <v>0.0</v>
      </c>
      <c r="M14" s="6">
        <v>0.0</v>
      </c>
      <c r="N14" s="5">
        <v>0.0</v>
      </c>
      <c r="O14" s="5">
        <v>2.0</v>
      </c>
      <c r="P14" s="6">
        <f t="shared" si="2"/>
        <v>14.5</v>
      </c>
      <c r="Q14" s="7">
        <f>66/277*100</f>
        <v>23.8267148</v>
      </c>
      <c r="R14" s="7">
        <f>12/24*100</f>
        <v>50</v>
      </c>
      <c r="S14" s="7">
        <f>(12+1020)/(3571+24)*100</f>
        <v>28.70653686</v>
      </c>
      <c r="T14" s="6">
        <v>51.3</v>
      </c>
      <c r="U14" s="8">
        <v>22.583561643835615</v>
      </c>
      <c r="V14" s="7">
        <f t="shared" ref="V14:V15" si="4">6*12+3</f>
        <v>75</v>
      </c>
    </row>
    <row r="15">
      <c r="A15" s="4" t="s">
        <v>59</v>
      </c>
      <c r="B15" s="4" t="s">
        <v>60</v>
      </c>
      <c r="C15" s="5">
        <v>81.0</v>
      </c>
      <c r="D15" s="4" t="s">
        <v>24</v>
      </c>
      <c r="E15" s="4">
        <v>10.0</v>
      </c>
      <c r="F15" s="5">
        <v>71.0</v>
      </c>
      <c r="G15" s="5">
        <v>816.0</v>
      </c>
      <c r="H15" s="6">
        <f t="shared" si="1"/>
        <v>81.6</v>
      </c>
      <c r="I15" s="6">
        <v>11.49</v>
      </c>
      <c r="J15" s="5">
        <v>6.0</v>
      </c>
      <c r="K15" s="5">
        <v>2.0</v>
      </c>
      <c r="L15" s="5">
        <v>22.0</v>
      </c>
      <c r="M15" s="6">
        <v>11.0</v>
      </c>
      <c r="N15" s="5">
        <v>0.0</v>
      </c>
      <c r="O15" s="5">
        <v>0.0</v>
      </c>
      <c r="P15" s="6">
        <f t="shared" si="2"/>
        <v>15.53</v>
      </c>
      <c r="Q15" s="7">
        <f>71/268*100</f>
        <v>26.49253731</v>
      </c>
      <c r="R15" s="7">
        <f>6/12*100</f>
        <v>50</v>
      </c>
      <c r="S15" s="7">
        <f>(6+816)/(2667+12)*100</f>
        <v>30.68309071</v>
      </c>
      <c r="T15" s="6">
        <v>47.41</v>
      </c>
      <c r="U15" s="8">
        <v>21.493150684931507</v>
      </c>
      <c r="V15" s="7">
        <f t="shared" si="4"/>
        <v>75</v>
      </c>
    </row>
    <row r="16">
      <c r="A16" s="4" t="s">
        <v>61</v>
      </c>
      <c r="B16" s="4" t="s">
        <v>62</v>
      </c>
      <c r="C16" s="5">
        <v>92.0</v>
      </c>
      <c r="D16" s="4" t="s">
        <v>63</v>
      </c>
      <c r="E16" s="4">
        <v>13.0</v>
      </c>
      <c r="F16" s="5">
        <v>106.0</v>
      </c>
      <c r="G16" s="5">
        <v>1386.0</v>
      </c>
      <c r="H16" s="6">
        <f t="shared" si="1"/>
        <v>106.6153846</v>
      </c>
      <c r="I16" s="6">
        <v>13.08</v>
      </c>
      <c r="J16" s="5">
        <v>9.0</v>
      </c>
      <c r="K16" s="5">
        <v>10.0</v>
      </c>
      <c r="L16" s="5">
        <v>24.0</v>
      </c>
      <c r="M16" s="6">
        <v>2.4</v>
      </c>
      <c r="N16" s="5">
        <v>1.0</v>
      </c>
      <c r="O16" s="9">
        <v>0.0</v>
      </c>
      <c r="P16" s="6">
        <f t="shared" si="2"/>
        <v>19.53846154</v>
      </c>
      <c r="Q16" s="7">
        <f>106/306*100</f>
        <v>34.64052288</v>
      </c>
      <c r="R16" s="7">
        <f>9/32*100</f>
        <v>28.125</v>
      </c>
      <c r="S16" s="7">
        <f>(1386+9)/(3761+32)*100</f>
        <v>36.77827577</v>
      </c>
      <c r="T16" s="10">
        <v>20.879</v>
      </c>
      <c r="U16" s="8">
        <v>22.665753424657535</v>
      </c>
      <c r="V16" s="7">
        <f>5*12+11</f>
        <v>71</v>
      </c>
    </row>
    <row r="17">
      <c r="A17" s="4" t="s">
        <v>64</v>
      </c>
      <c r="B17" s="4" t="s">
        <v>65</v>
      </c>
      <c r="C17" s="5">
        <v>128.0</v>
      </c>
      <c r="D17" s="4" t="s">
        <v>66</v>
      </c>
      <c r="E17" s="4">
        <v>12.0</v>
      </c>
      <c r="F17" s="5">
        <v>72.0</v>
      </c>
      <c r="G17" s="5">
        <v>1241.0</v>
      </c>
      <c r="H17" s="6">
        <f t="shared" si="1"/>
        <v>103.4166667</v>
      </c>
      <c r="I17" s="6">
        <v>17.24</v>
      </c>
      <c r="J17" s="5">
        <v>12.0</v>
      </c>
      <c r="K17" s="5">
        <v>0.0</v>
      </c>
      <c r="L17" s="5">
        <v>0.0</v>
      </c>
      <c r="M17" s="6">
        <v>0.0</v>
      </c>
      <c r="N17" s="5">
        <v>0.0</v>
      </c>
      <c r="O17" s="5">
        <v>0.0</v>
      </c>
      <c r="P17" s="6">
        <f t="shared" si="2"/>
        <v>19.34166667</v>
      </c>
      <c r="Q17" s="7">
        <f>72/271*100</f>
        <v>26.56826568</v>
      </c>
      <c r="R17" s="7">
        <f>12/36*100</f>
        <v>33.33333333</v>
      </c>
      <c r="S17" s="7">
        <f>(1241+12)/(4117+36)*100</f>
        <v>30.17096075</v>
      </c>
      <c r="T17" s="6">
        <v>11.18</v>
      </c>
      <c r="U17" s="8">
        <v>21.117808219178084</v>
      </c>
      <c r="V17" s="7">
        <f>6*12+2</f>
        <v>74</v>
      </c>
    </row>
    <row r="18">
      <c r="A18" s="4" t="s">
        <v>67</v>
      </c>
      <c r="B18" s="4" t="s">
        <v>68</v>
      </c>
      <c r="C18" s="5">
        <v>142.0</v>
      </c>
      <c r="D18" s="4" t="s">
        <v>69</v>
      </c>
      <c r="E18" s="4">
        <v>13.0</v>
      </c>
      <c r="F18" s="5">
        <v>79.0</v>
      </c>
      <c r="G18" s="5">
        <v>1396.0</v>
      </c>
      <c r="H18" s="6">
        <f t="shared" si="1"/>
        <v>107.3846154</v>
      </c>
      <c r="I18" s="6">
        <v>17.67</v>
      </c>
      <c r="J18" s="5">
        <v>10.0</v>
      </c>
      <c r="K18" s="5">
        <v>0.0</v>
      </c>
      <c r="L18" s="5">
        <v>0.0</v>
      </c>
      <c r="M18" s="6">
        <v>0.0</v>
      </c>
      <c r="N18" s="5">
        <v>0.0</v>
      </c>
      <c r="O18" s="5" t="s">
        <v>70</v>
      </c>
      <c r="P18" s="6" t="str">
        <f t="shared" si="2"/>
        <v>#VALUE!</v>
      </c>
      <c r="Q18" s="7">
        <f>79/257*100</f>
        <v>30.73929961</v>
      </c>
      <c r="R18" s="7">
        <f>10/29*100</f>
        <v>34.48275862</v>
      </c>
      <c r="S18" s="7">
        <f>(10+1396)/(29+3756)*100</f>
        <v>37.14663144</v>
      </c>
      <c r="T18" s="6">
        <v>47.038</v>
      </c>
      <c r="U18" s="8">
        <v>22.09315068493151</v>
      </c>
      <c r="V18" s="7">
        <f>6*12+4</f>
        <v>76</v>
      </c>
    </row>
    <row r="19">
      <c r="A19" s="4" t="s">
        <v>71</v>
      </c>
      <c r="B19" s="4" t="s">
        <v>72</v>
      </c>
      <c r="C19" s="5">
        <v>151.0</v>
      </c>
      <c r="D19" s="4" t="s">
        <v>73</v>
      </c>
      <c r="E19" s="4">
        <v>13.0</v>
      </c>
      <c r="F19" s="5">
        <v>77.0</v>
      </c>
      <c r="G19" s="5">
        <v>679.0</v>
      </c>
      <c r="H19" s="6">
        <f t="shared" si="1"/>
        <v>52.23076923</v>
      </c>
      <c r="I19" s="6">
        <v>8.82</v>
      </c>
      <c r="J19" s="5">
        <v>7.0</v>
      </c>
      <c r="K19" s="5">
        <v>8.0</v>
      </c>
      <c r="L19" s="5">
        <v>42.0</v>
      </c>
      <c r="M19" s="6">
        <v>5.25</v>
      </c>
      <c r="N19" s="5">
        <v>0.0</v>
      </c>
      <c r="O19" s="5">
        <v>1.0</v>
      </c>
      <c r="P19" s="6">
        <f t="shared" si="2"/>
        <v>11.58461538</v>
      </c>
      <c r="Q19" s="7">
        <f>77/337*100</f>
        <v>22.84866469</v>
      </c>
      <c r="R19" s="7">
        <f>7/23*100</f>
        <v>30.43478261</v>
      </c>
      <c r="S19" s="7">
        <f>(7+679)/(3748+23)*100</f>
        <v>18.19146115</v>
      </c>
      <c r="T19" s="6">
        <v>16.61</v>
      </c>
      <c r="U19" s="8">
        <v>22.361643835616437</v>
      </c>
      <c r="V19" s="7">
        <f>6*12</f>
        <v>72</v>
      </c>
    </row>
    <row r="20">
      <c r="A20" s="4" t="s">
        <v>74</v>
      </c>
      <c r="B20" s="4" t="s">
        <v>75</v>
      </c>
      <c r="C20" s="5">
        <v>161.0</v>
      </c>
      <c r="D20" s="4" t="s">
        <v>76</v>
      </c>
      <c r="E20" s="4">
        <v>13.0</v>
      </c>
      <c r="F20" s="5">
        <v>86.0</v>
      </c>
      <c r="G20" s="5">
        <v>1318.0</v>
      </c>
      <c r="H20" s="6">
        <f t="shared" si="1"/>
        <v>101.3846154</v>
      </c>
      <c r="I20" s="6">
        <v>15.33</v>
      </c>
      <c r="J20" s="5">
        <v>13.0</v>
      </c>
      <c r="K20" s="5">
        <v>1.0</v>
      </c>
      <c r="L20" s="5">
        <v>-1.0</v>
      </c>
      <c r="M20" s="6">
        <v>-1.0</v>
      </c>
      <c r="N20" s="5">
        <v>0.0</v>
      </c>
      <c r="O20" s="5">
        <v>2.0</v>
      </c>
      <c r="P20" s="6">
        <f t="shared" si="2"/>
        <v>19.13076923</v>
      </c>
      <c r="Q20" s="7">
        <f>86/212*100</f>
        <v>40.56603774</v>
      </c>
      <c r="R20" s="7">
        <f>13/31*100</f>
        <v>41.93548387</v>
      </c>
      <c r="S20" s="7">
        <f>(13+1318)/(3293+31)*100</f>
        <v>40.04211793</v>
      </c>
      <c r="T20" s="6">
        <v>22.546</v>
      </c>
      <c r="U20" s="8">
        <v>21.726027397260275</v>
      </c>
      <c r="V20" s="7">
        <f>6*12+2</f>
        <v>74</v>
      </c>
    </row>
    <row r="21">
      <c r="A21" s="4" t="s">
        <v>77</v>
      </c>
      <c r="B21" s="4" t="s">
        <v>78</v>
      </c>
      <c r="C21" s="5">
        <v>173.0</v>
      </c>
      <c r="D21" s="4" t="s">
        <v>79</v>
      </c>
      <c r="E21" s="4">
        <v>13.0</v>
      </c>
      <c r="F21" s="5">
        <v>48.0</v>
      </c>
      <c r="G21" s="5">
        <v>713.0</v>
      </c>
      <c r="H21" s="6">
        <f t="shared" si="1"/>
        <v>54.84615385</v>
      </c>
      <c r="I21" s="6">
        <f>'2020'!$G21/'2020'!$F21</f>
        <v>14.85416667</v>
      </c>
      <c r="J21" s="5">
        <v>5.0</v>
      </c>
      <c r="K21" s="5">
        <v>0.0</v>
      </c>
      <c r="L21" s="5">
        <v>0.0</v>
      </c>
      <c r="M21" s="6">
        <v>0.0</v>
      </c>
      <c r="N21" s="5">
        <v>0.0</v>
      </c>
      <c r="O21" s="5">
        <v>0.0</v>
      </c>
      <c r="P21" s="6">
        <f t="shared" si="2"/>
        <v>9.638461538</v>
      </c>
      <c r="Q21" s="7">
        <f>48/197*100</f>
        <v>24.36548223</v>
      </c>
      <c r="R21" s="7">
        <f>5/19*100</f>
        <v>26.31578947</v>
      </c>
      <c r="S21" s="7">
        <f>(5+713)/(19+2679)*100</f>
        <v>26.61230541</v>
      </c>
      <c r="T21" s="6">
        <f>48/350*100</f>
        <v>13.71428571</v>
      </c>
      <c r="U21" s="8">
        <v>22.55068493150685</v>
      </c>
      <c r="V21" s="7">
        <f>5*12+11</f>
        <v>71</v>
      </c>
    </row>
    <row r="22">
      <c r="A22" s="11"/>
      <c r="B22" s="11"/>
      <c r="P22" s="12"/>
    </row>
    <row r="23">
      <c r="A23" s="11"/>
      <c r="B23" s="11"/>
      <c r="P23" s="12"/>
    </row>
    <row r="24">
      <c r="A24" s="11"/>
      <c r="B24" s="11"/>
      <c r="P24" s="12"/>
    </row>
    <row r="25">
      <c r="A25" s="11"/>
      <c r="B25" s="11"/>
      <c r="P25" s="12"/>
    </row>
    <row r="26">
      <c r="A26" s="11"/>
      <c r="B26" s="11"/>
      <c r="P26" s="12"/>
    </row>
    <row r="27">
      <c r="A27" s="11"/>
      <c r="B27" s="11"/>
      <c r="P27" s="12"/>
    </row>
    <row r="28">
      <c r="A28" s="11"/>
      <c r="B28" s="11"/>
      <c r="P28" s="12"/>
    </row>
    <row r="29">
      <c r="A29" s="11"/>
      <c r="B29" s="11"/>
      <c r="P29" s="12"/>
    </row>
    <row r="30">
      <c r="A30" s="11"/>
      <c r="B30" s="11"/>
      <c r="P30" s="12"/>
    </row>
    <row r="31">
      <c r="A31" s="11"/>
      <c r="B31" s="11"/>
      <c r="P31" s="12"/>
    </row>
    <row r="32">
      <c r="A32" s="11"/>
      <c r="B32" s="11"/>
      <c r="P32" s="12"/>
    </row>
    <row r="33">
      <c r="A33" s="11"/>
      <c r="B33" s="11"/>
      <c r="P33" s="12"/>
    </row>
    <row r="34">
      <c r="A34" s="11"/>
      <c r="B34" s="11"/>
      <c r="P34" s="12"/>
    </row>
    <row r="35">
      <c r="A35" s="11"/>
      <c r="B35" s="11"/>
      <c r="P35" s="12"/>
    </row>
    <row r="36">
      <c r="A36" s="11"/>
      <c r="B36" s="11"/>
      <c r="P36" s="12"/>
    </row>
    <row r="37">
      <c r="A37" s="11"/>
      <c r="B37" s="11"/>
      <c r="P37" s="12"/>
    </row>
    <row r="38">
      <c r="A38" s="11"/>
      <c r="B38" s="11"/>
      <c r="P38" s="12"/>
    </row>
    <row r="39">
      <c r="A39" s="11"/>
      <c r="B39" s="11"/>
      <c r="P39" s="12"/>
    </row>
    <row r="40">
      <c r="A40" s="11"/>
      <c r="B40" s="11"/>
      <c r="P40" s="12"/>
    </row>
    <row r="41">
      <c r="A41" s="11"/>
      <c r="B41" s="11"/>
      <c r="P41" s="12"/>
    </row>
    <row r="42">
      <c r="A42" s="11"/>
      <c r="B42" s="11"/>
      <c r="P42" s="12"/>
    </row>
    <row r="43">
      <c r="A43" s="11"/>
      <c r="B43" s="11"/>
      <c r="P43" s="12"/>
    </row>
    <row r="44">
      <c r="A44" s="11"/>
      <c r="B44" s="11"/>
      <c r="P44" s="12"/>
    </row>
    <row r="45">
      <c r="A45" s="11"/>
      <c r="B45" s="11"/>
      <c r="P45" s="12"/>
    </row>
    <row r="46">
      <c r="A46" s="11"/>
      <c r="B46" s="11"/>
      <c r="P46" s="12"/>
    </row>
    <row r="47">
      <c r="A47" s="11"/>
      <c r="B47" s="11"/>
      <c r="P47" s="12"/>
    </row>
    <row r="48">
      <c r="A48" s="11"/>
      <c r="B48" s="11"/>
      <c r="P48" s="12"/>
    </row>
    <row r="49">
      <c r="A49" s="11"/>
      <c r="B49" s="11"/>
      <c r="P49" s="12"/>
    </row>
    <row r="50">
      <c r="A50" s="11"/>
      <c r="B50" s="11"/>
      <c r="P50" s="12"/>
    </row>
    <row r="51">
      <c r="A51" s="11"/>
      <c r="B51" s="11"/>
      <c r="P51" s="12"/>
    </row>
    <row r="52">
      <c r="A52" s="11"/>
      <c r="B52" s="11"/>
      <c r="P52" s="12"/>
    </row>
    <row r="53">
      <c r="A53" s="11"/>
      <c r="B53" s="11"/>
      <c r="P53" s="12"/>
    </row>
    <row r="54">
      <c r="A54" s="11"/>
      <c r="B54" s="11"/>
      <c r="P54" s="12"/>
    </row>
    <row r="55">
      <c r="A55" s="11"/>
      <c r="B55" s="11"/>
      <c r="P55" s="12"/>
    </row>
    <row r="56">
      <c r="A56" s="11"/>
      <c r="B56" s="11"/>
      <c r="P56" s="12"/>
    </row>
    <row r="57">
      <c r="A57" s="11"/>
      <c r="B57" s="11"/>
      <c r="P57" s="12"/>
    </row>
    <row r="58">
      <c r="A58" s="11"/>
      <c r="B58" s="11"/>
      <c r="P58" s="12"/>
    </row>
    <row r="59">
      <c r="A59" s="11"/>
      <c r="B59" s="11"/>
      <c r="P59" s="12"/>
    </row>
    <row r="60">
      <c r="A60" s="11"/>
      <c r="B60" s="11"/>
      <c r="P60" s="12"/>
    </row>
    <row r="61">
      <c r="A61" s="11"/>
      <c r="B61" s="11"/>
      <c r="P61" s="12"/>
    </row>
    <row r="62">
      <c r="A62" s="11"/>
      <c r="B62" s="11"/>
      <c r="P62" s="12"/>
    </row>
    <row r="63">
      <c r="A63" s="11"/>
      <c r="B63" s="11"/>
      <c r="P63" s="12"/>
    </row>
    <row r="64">
      <c r="A64" s="11"/>
      <c r="B64" s="11"/>
      <c r="P64" s="12"/>
    </row>
    <row r="65">
      <c r="A65" s="11"/>
      <c r="B65" s="11"/>
      <c r="P65" s="12"/>
    </row>
    <row r="66">
      <c r="A66" s="11"/>
      <c r="B66" s="11"/>
      <c r="P66" s="12"/>
    </row>
    <row r="67">
      <c r="A67" s="11"/>
      <c r="B67" s="11"/>
      <c r="P67" s="12"/>
    </row>
    <row r="68">
      <c r="A68" s="11"/>
      <c r="B68" s="11"/>
      <c r="P68" s="12"/>
    </row>
    <row r="69">
      <c r="A69" s="11"/>
      <c r="B69" s="11"/>
      <c r="P69" s="12"/>
    </row>
    <row r="70">
      <c r="A70" s="11"/>
      <c r="B70" s="11"/>
      <c r="P70" s="12"/>
    </row>
    <row r="71">
      <c r="A71" s="11"/>
      <c r="B71" s="11"/>
      <c r="P71" s="12"/>
    </row>
    <row r="72">
      <c r="A72" s="11"/>
      <c r="B72" s="11"/>
      <c r="P72" s="12"/>
    </row>
    <row r="73">
      <c r="A73" s="11"/>
      <c r="B73" s="11"/>
      <c r="P73" s="12"/>
    </row>
    <row r="74">
      <c r="A74" s="11"/>
      <c r="B74" s="11"/>
      <c r="P74" s="12"/>
    </row>
    <row r="75">
      <c r="A75" s="11"/>
      <c r="B75" s="11"/>
      <c r="P75" s="12"/>
    </row>
    <row r="76">
      <c r="A76" s="11"/>
      <c r="B76" s="11"/>
      <c r="P76" s="12"/>
    </row>
    <row r="77">
      <c r="A77" s="11"/>
      <c r="B77" s="11"/>
      <c r="P77" s="12"/>
    </row>
    <row r="78">
      <c r="A78" s="11"/>
      <c r="B78" s="11"/>
      <c r="P78" s="12"/>
    </row>
    <row r="79">
      <c r="A79" s="11"/>
      <c r="B79" s="11"/>
      <c r="P79" s="12"/>
    </row>
    <row r="80">
      <c r="A80" s="11"/>
      <c r="B80" s="11"/>
      <c r="P80" s="12"/>
    </row>
    <row r="81">
      <c r="A81" s="11"/>
      <c r="B81" s="11"/>
      <c r="P81" s="12"/>
    </row>
    <row r="82">
      <c r="A82" s="11"/>
      <c r="B82" s="11"/>
      <c r="P82" s="12"/>
    </row>
    <row r="83">
      <c r="A83" s="11"/>
      <c r="B83" s="11"/>
      <c r="P83" s="12"/>
    </row>
    <row r="84">
      <c r="A84" s="11"/>
      <c r="B84" s="11"/>
      <c r="P84" s="12"/>
    </row>
    <row r="85">
      <c r="A85" s="11"/>
      <c r="B85" s="11"/>
      <c r="P85" s="12"/>
    </row>
    <row r="86">
      <c r="A86" s="11"/>
      <c r="B86" s="11"/>
      <c r="P86" s="12"/>
    </row>
    <row r="87">
      <c r="A87" s="11"/>
      <c r="B87" s="11"/>
      <c r="P87" s="12"/>
    </row>
    <row r="88">
      <c r="A88" s="11"/>
      <c r="B88" s="11"/>
      <c r="P88" s="12"/>
    </row>
    <row r="89">
      <c r="A89" s="11"/>
      <c r="B89" s="11"/>
      <c r="P89" s="12"/>
    </row>
    <row r="90">
      <c r="A90" s="11"/>
      <c r="B90" s="11"/>
      <c r="P90" s="12"/>
    </row>
    <row r="91">
      <c r="A91" s="11"/>
      <c r="B91" s="11"/>
      <c r="P91" s="12"/>
    </row>
    <row r="92">
      <c r="A92" s="11"/>
      <c r="B92" s="11"/>
      <c r="P92" s="12"/>
    </row>
    <row r="93">
      <c r="A93" s="11"/>
      <c r="B93" s="11"/>
      <c r="P93" s="12"/>
    </row>
    <row r="94">
      <c r="A94" s="11"/>
      <c r="B94" s="11"/>
      <c r="P94" s="12"/>
    </row>
    <row r="95">
      <c r="A95" s="11"/>
      <c r="B95" s="11"/>
      <c r="P95" s="12"/>
    </row>
    <row r="96">
      <c r="A96" s="11"/>
      <c r="B96" s="11"/>
      <c r="P96" s="12"/>
    </row>
    <row r="97">
      <c r="A97" s="11"/>
      <c r="B97" s="11"/>
      <c r="P97" s="12"/>
    </row>
    <row r="98">
      <c r="A98" s="11"/>
      <c r="B98" s="11"/>
      <c r="P98" s="12"/>
    </row>
    <row r="99">
      <c r="A99" s="11"/>
      <c r="B99" s="11"/>
      <c r="P99" s="12"/>
    </row>
    <row r="100">
      <c r="A100" s="11"/>
      <c r="B100" s="11"/>
      <c r="P100" s="12"/>
    </row>
    <row r="101">
      <c r="A101" s="11"/>
      <c r="B101" s="11"/>
      <c r="P101" s="12"/>
    </row>
    <row r="102">
      <c r="A102" s="11"/>
      <c r="B102" s="11"/>
      <c r="P102" s="12"/>
    </row>
    <row r="103">
      <c r="A103" s="11"/>
      <c r="B103" s="11"/>
      <c r="P103" s="12"/>
    </row>
    <row r="104">
      <c r="A104" s="11"/>
      <c r="B104" s="11"/>
      <c r="P104" s="12"/>
    </row>
    <row r="105">
      <c r="A105" s="11"/>
      <c r="B105" s="11"/>
      <c r="P105" s="12"/>
    </row>
    <row r="106">
      <c r="A106" s="11"/>
      <c r="B106" s="11"/>
      <c r="P106" s="12"/>
    </row>
    <row r="107">
      <c r="A107" s="11"/>
      <c r="B107" s="11"/>
      <c r="P107" s="12"/>
    </row>
    <row r="108">
      <c r="A108" s="11"/>
      <c r="B108" s="11"/>
      <c r="P108" s="12"/>
    </row>
    <row r="109">
      <c r="A109" s="11"/>
      <c r="B109" s="11"/>
      <c r="P109" s="12"/>
    </row>
    <row r="110">
      <c r="A110" s="11"/>
      <c r="B110" s="11"/>
      <c r="P110" s="12"/>
    </row>
    <row r="111">
      <c r="A111" s="11"/>
      <c r="B111" s="11"/>
      <c r="P111" s="12"/>
    </row>
    <row r="112">
      <c r="A112" s="11"/>
      <c r="B112" s="11"/>
      <c r="P112" s="12"/>
    </row>
    <row r="113">
      <c r="A113" s="11"/>
      <c r="B113" s="11"/>
      <c r="P113" s="12"/>
    </row>
    <row r="114">
      <c r="A114" s="11"/>
      <c r="B114" s="11"/>
      <c r="P114" s="12"/>
    </row>
    <row r="115">
      <c r="A115" s="11"/>
      <c r="B115" s="11"/>
      <c r="P115" s="12"/>
    </row>
    <row r="116">
      <c r="A116" s="11"/>
      <c r="B116" s="11"/>
      <c r="P116" s="12"/>
    </row>
    <row r="117">
      <c r="A117" s="11"/>
      <c r="B117" s="11"/>
      <c r="P117" s="12"/>
    </row>
    <row r="118">
      <c r="A118" s="11"/>
      <c r="B118" s="11"/>
      <c r="P118" s="12"/>
    </row>
    <row r="119">
      <c r="A119" s="11"/>
      <c r="B119" s="11"/>
      <c r="P119" s="12"/>
    </row>
    <row r="120">
      <c r="A120" s="11"/>
      <c r="B120" s="11"/>
      <c r="P120" s="12"/>
    </row>
    <row r="121">
      <c r="A121" s="11"/>
      <c r="B121" s="11"/>
      <c r="P121" s="12"/>
    </row>
    <row r="122">
      <c r="A122" s="11"/>
      <c r="B122" s="11"/>
      <c r="P122" s="12"/>
    </row>
    <row r="123">
      <c r="A123" s="11"/>
      <c r="B123" s="11"/>
      <c r="P123" s="12"/>
    </row>
    <row r="124">
      <c r="A124" s="11"/>
      <c r="B124" s="11"/>
      <c r="P124" s="12"/>
    </row>
    <row r="125">
      <c r="A125" s="11"/>
      <c r="B125" s="11"/>
      <c r="P125" s="12"/>
    </row>
    <row r="126">
      <c r="A126" s="11"/>
      <c r="B126" s="11"/>
      <c r="P126" s="12"/>
    </row>
    <row r="127">
      <c r="A127" s="11"/>
      <c r="B127" s="11"/>
      <c r="P127" s="12"/>
    </row>
    <row r="128">
      <c r="A128" s="11"/>
      <c r="B128" s="11"/>
      <c r="P128" s="12"/>
    </row>
    <row r="129">
      <c r="A129" s="11"/>
      <c r="B129" s="11"/>
      <c r="P129" s="12"/>
    </row>
    <row r="130">
      <c r="A130" s="11"/>
      <c r="B130" s="11"/>
      <c r="P130" s="12"/>
    </row>
    <row r="131">
      <c r="A131" s="11"/>
      <c r="B131" s="11"/>
      <c r="P131" s="12"/>
    </row>
    <row r="132">
      <c r="A132" s="11"/>
      <c r="B132" s="11"/>
      <c r="P132" s="12"/>
    </row>
    <row r="133">
      <c r="A133" s="11"/>
      <c r="B133" s="11"/>
      <c r="P133" s="12"/>
    </row>
    <row r="134">
      <c r="A134" s="11"/>
      <c r="B134" s="11"/>
      <c r="P134" s="12"/>
    </row>
    <row r="135">
      <c r="A135" s="11"/>
      <c r="B135" s="11"/>
      <c r="P135" s="12"/>
    </row>
    <row r="136">
      <c r="A136" s="11"/>
      <c r="B136" s="11"/>
      <c r="P136" s="12"/>
    </row>
    <row r="137">
      <c r="A137" s="11"/>
      <c r="B137" s="11"/>
      <c r="P137" s="12"/>
    </row>
    <row r="138">
      <c r="A138" s="11"/>
      <c r="B138" s="11"/>
      <c r="P138" s="12"/>
    </row>
    <row r="139">
      <c r="A139" s="11"/>
      <c r="B139" s="11"/>
      <c r="P139" s="12"/>
    </row>
    <row r="140">
      <c r="A140" s="11"/>
      <c r="B140" s="11"/>
      <c r="P140" s="12"/>
    </row>
    <row r="141">
      <c r="A141" s="11"/>
      <c r="B141" s="11"/>
      <c r="P141" s="12"/>
    </row>
    <row r="142">
      <c r="A142" s="11"/>
      <c r="B142" s="11"/>
      <c r="P142" s="12"/>
    </row>
    <row r="143">
      <c r="A143" s="11"/>
      <c r="B143" s="11"/>
      <c r="P143" s="12"/>
    </row>
    <row r="144">
      <c r="A144" s="11"/>
      <c r="B144" s="11"/>
      <c r="P144" s="12"/>
    </row>
    <row r="145">
      <c r="A145" s="11"/>
      <c r="B145" s="11"/>
      <c r="P145" s="12"/>
    </row>
    <row r="146">
      <c r="A146" s="11"/>
      <c r="B146" s="11"/>
      <c r="P146" s="12"/>
    </row>
    <row r="147">
      <c r="A147" s="11"/>
      <c r="B147" s="11"/>
      <c r="P147" s="12"/>
    </row>
    <row r="148">
      <c r="A148" s="11"/>
      <c r="B148" s="11"/>
      <c r="P148" s="12"/>
    </row>
    <row r="149">
      <c r="A149" s="11"/>
      <c r="B149" s="11"/>
      <c r="P149" s="12"/>
    </row>
    <row r="150">
      <c r="A150" s="11"/>
      <c r="B150" s="11"/>
      <c r="P150" s="12"/>
    </row>
    <row r="151">
      <c r="A151" s="11"/>
      <c r="B151" s="11"/>
      <c r="P151" s="12"/>
    </row>
    <row r="152">
      <c r="A152" s="11"/>
      <c r="B152" s="11"/>
      <c r="P152" s="12"/>
    </row>
    <row r="153">
      <c r="A153" s="11"/>
      <c r="B153" s="11"/>
      <c r="P153" s="12"/>
    </row>
    <row r="154">
      <c r="A154" s="11"/>
      <c r="B154" s="11"/>
      <c r="P154" s="12"/>
    </row>
    <row r="155">
      <c r="A155" s="11"/>
      <c r="B155" s="11"/>
      <c r="P155" s="12"/>
    </row>
    <row r="156">
      <c r="A156" s="11"/>
      <c r="B156" s="11"/>
      <c r="P156" s="12"/>
    </row>
    <row r="157">
      <c r="A157" s="11"/>
      <c r="B157" s="11"/>
      <c r="P157" s="12"/>
    </row>
    <row r="158">
      <c r="A158" s="11"/>
      <c r="B158" s="11"/>
      <c r="P158" s="12"/>
    </row>
    <row r="159">
      <c r="A159" s="11"/>
      <c r="B159" s="11"/>
      <c r="P159" s="12"/>
    </row>
    <row r="160">
      <c r="A160" s="11"/>
      <c r="B160" s="11"/>
      <c r="P160" s="12"/>
    </row>
    <row r="161">
      <c r="A161" s="11"/>
      <c r="B161" s="11"/>
      <c r="P161" s="12"/>
    </row>
    <row r="162">
      <c r="A162" s="11"/>
      <c r="B162" s="11"/>
      <c r="P162" s="12"/>
    </row>
    <row r="163">
      <c r="A163" s="11"/>
      <c r="B163" s="11"/>
      <c r="P163" s="12"/>
    </row>
    <row r="164">
      <c r="A164" s="11"/>
      <c r="B164" s="11"/>
      <c r="P164" s="12"/>
    </row>
    <row r="165">
      <c r="A165" s="11"/>
      <c r="B165" s="11"/>
      <c r="P165" s="12"/>
    </row>
    <row r="166">
      <c r="A166" s="11"/>
      <c r="B166" s="11"/>
      <c r="P166" s="12"/>
    </row>
    <row r="167">
      <c r="A167" s="11"/>
      <c r="B167" s="11"/>
      <c r="P167" s="12"/>
    </row>
    <row r="168">
      <c r="A168" s="11"/>
      <c r="B168" s="11"/>
      <c r="P168" s="12"/>
    </row>
    <row r="169">
      <c r="A169" s="11"/>
      <c r="B169" s="11"/>
      <c r="P169" s="12"/>
    </row>
    <row r="170">
      <c r="A170" s="11"/>
      <c r="B170" s="11"/>
      <c r="P170" s="12"/>
    </row>
    <row r="171">
      <c r="A171" s="11"/>
      <c r="B171" s="11"/>
      <c r="P171" s="12"/>
    </row>
    <row r="172">
      <c r="A172" s="11"/>
      <c r="B172" s="11"/>
      <c r="P172" s="12"/>
    </row>
    <row r="173">
      <c r="A173" s="11"/>
      <c r="B173" s="11"/>
      <c r="P173" s="12"/>
    </row>
    <row r="174">
      <c r="A174" s="11"/>
      <c r="B174" s="11"/>
      <c r="P174" s="12"/>
    </row>
    <row r="175">
      <c r="A175" s="11"/>
      <c r="B175" s="11"/>
      <c r="P175" s="12"/>
    </row>
    <row r="176">
      <c r="A176" s="11"/>
      <c r="B176" s="11"/>
      <c r="P176" s="12"/>
    </row>
    <row r="177">
      <c r="A177" s="11"/>
      <c r="B177" s="11"/>
      <c r="P177" s="12"/>
    </row>
    <row r="178">
      <c r="A178" s="11"/>
      <c r="B178" s="11"/>
      <c r="P178" s="12"/>
    </row>
    <row r="179">
      <c r="A179" s="11"/>
      <c r="B179" s="11"/>
      <c r="P179" s="12"/>
    </row>
    <row r="180">
      <c r="A180" s="11"/>
      <c r="B180" s="11"/>
      <c r="P180" s="12"/>
    </row>
    <row r="181">
      <c r="A181" s="11"/>
      <c r="B181" s="11"/>
      <c r="P181" s="12"/>
    </row>
    <row r="182">
      <c r="A182" s="11"/>
      <c r="B182" s="11"/>
      <c r="P182" s="12"/>
    </row>
    <row r="183">
      <c r="A183" s="11"/>
      <c r="B183" s="11"/>
      <c r="P183" s="12"/>
    </row>
    <row r="184">
      <c r="A184" s="11"/>
      <c r="B184" s="11"/>
      <c r="P184" s="12"/>
    </row>
    <row r="185">
      <c r="A185" s="11"/>
      <c r="B185" s="11"/>
      <c r="P185" s="12"/>
    </row>
    <row r="186">
      <c r="A186" s="11"/>
      <c r="B186" s="11"/>
      <c r="P186" s="12"/>
    </row>
    <row r="187">
      <c r="A187" s="11"/>
      <c r="B187" s="11"/>
      <c r="P187" s="12"/>
    </row>
    <row r="188">
      <c r="A188" s="11"/>
      <c r="B188" s="11"/>
      <c r="P188" s="12"/>
    </row>
    <row r="189">
      <c r="A189" s="11"/>
      <c r="B189" s="11"/>
      <c r="P189" s="12"/>
    </row>
    <row r="190">
      <c r="A190" s="11"/>
      <c r="B190" s="11"/>
      <c r="P190" s="12"/>
    </row>
    <row r="191">
      <c r="A191" s="11"/>
      <c r="B191" s="11"/>
      <c r="P191" s="12"/>
    </row>
    <row r="192">
      <c r="A192" s="11"/>
      <c r="B192" s="11"/>
      <c r="P192" s="12"/>
    </row>
    <row r="193">
      <c r="A193" s="11"/>
      <c r="B193" s="11"/>
      <c r="P193" s="12"/>
    </row>
    <row r="194">
      <c r="A194" s="11"/>
      <c r="B194" s="11"/>
      <c r="P194" s="12"/>
    </row>
    <row r="195">
      <c r="A195" s="11"/>
      <c r="B195" s="11"/>
      <c r="P195" s="12"/>
    </row>
    <row r="196">
      <c r="A196" s="11"/>
      <c r="B196" s="11"/>
      <c r="P196" s="12"/>
    </row>
    <row r="197">
      <c r="A197" s="11"/>
      <c r="B197" s="11"/>
      <c r="P197" s="12"/>
    </row>
    <row r="198">
      <c r="A198" s="11"/>
      <c r="B198" s="11"/>
      <c r="P198" s="12"/>
    </row>
    <row r="199">
      <c r="A199" s="11"/>
      <c r="B199" s="11"/>
      <c r="P199" s="12"/>
    </row>
    <row r="200">
      <c r="A200" s="11"/>
      <c r="B200" s="11"/>
      <c r="P200" s="12"/>
    </row>
    <row r="201">
      <c r="A201" s="11"/>
      <c r="B201" s="11"/>
      <c r="P201" s="12"/>
    </row>
    <row r="202">
      <c r="A202" s="11"/>
      <c r="B202" s="11"/>
      <c r="P202" s="12"/>
    </row>
    <row r="203">
      <c r="A203" s="11"/>
      <c r="B203" s="11"/>
      <c r="P203" s="12"/>
    </row>
    <row r="204">
      <c r="A204" s="11"/>
      <c r="B204" s="11"/>
      <c r="P204" s="12"/>
    </row>
    <row r="205">
      <c r="A205" s="11"/>
      <c r="B205" s="11"/>
      <c r="P205" s="12"/>
    </row>
    <row r="206">
      <c r="A206" s="11"/>
      <c r="B206" s="11"/>
      <c r="P206" s="12"/>
    </row>
    <row r="207">
      <c r="A207" s="11"/>
      <c r="B207" s="11"/>
      <c r="P207" s="12"/>
    </row>
    <row r="208">
      <c r="A208" s="11"/>
      <c r="B208" s="11"/>
      <c r="P208" s="12"/>
    </row>
    <row r="209">
      <c r="A209" s="11"/>
      <c r="B209" s="11"/>
      <c r="P209" s="12"/>
    </row>
    <row r="210">
      <c r="A210" s="11"/>
      <c r="B210" s="11"/>
      <c r="P210" s="12"/>
    </row>
    <row r="211">
      <c r="A211" s="11"/>
      <c r="B211" s="11"/>
      <c r="P211" s="12"/>
    </row>
    <row r="212">
      <c r="A212" s="11"/>
      <c r="B212" s="11"/>
      <c r="P212" s="12"/>
    </row>
    <row r="213">
      <c r="A213" s="11"/>
      <c r="B213" s="11"/>
      <c r="P213" s="12"/>
    </row>
    <row r="214">
      <c r="A214" s="11"/>
      <c r="B214" s="11"/>
      <c r="P214" s="12"/>
    </row>
    <row r="215">
      <c r="A215" s="11"/>
      <c r="B215" s="11"/>
      <c r="P215" s="12"/>
    </row>
    <row r="216">
      <c r="A216" s="11"/>
      <c r="B216" s="11"/>
      <c r="P216" s="12"/>
    </row>
    <row r="217">
      <c r="A217" s="11"/>
      <c r="B217" s="11"/>
      <c r="P217" s="12"/>
    </row>
    <row r="218">
      <c r="A218" s="11"/>
      <c r="B218" s="11"/>
      <c r="P218" s="12"/>
    </row>
    <row r="219">
      <c r="A219" s="11"/>
      <c r="B219" s="11"/>
      <c r="P219" s="12"/>
    </row>
    <row r="220">
      <c r="A220" s="11"/>
      <c r="B220" s="11"/>
      <c r="P220" s="12"/>
    </row>
    <row r="221">
      <c r="A221" s="11"/>
      <c r="B221" s="11"/>
      <c r="P221" s="12"/>
    </row>
    <row r="222">
      <c r="A222" s="11"/>
      <c r="B222" s="11"/>
      <c r="P222" s="12"/>
    </row>
    <row r="223">
      <c r="A223" s="11"/>
      <c r="B223" s="11"/>
      <c r="P223" s="12"/>
    </row>
    <row r="224">
      <c r="A224" s="11"/>
      <c r="B224" s="11"/>
      <c r="P224" s="12"/>
    </row>
    <row r="225">
      <c r="A225" s="11"/>
      <c r="B225" s="11"/>
      <c r="P225" s="12"/>
    </row>
    <row r="226">
      <c r="A226" s="11"/>
      <c r="B226" s="11"/>
      <c r="P226" s="12"/>
    </row>
    <row r="227">
      <c r="A227" s="11"/>
      <c r="B227" s="11"/>
      <c r="P227" s="12"/>
    </row>
    <row r="228">
      <c r="A228" s="11"/>
      <c r="B228" s="11"/>
      <c r="P228" s="12"/>
    </row>
    <row r="229">
      <c r="A229" s="11"/>
      <c r="B229" s="11"/>
      <c r="P229" s="12"/>
    </row>
    <row r="230">
      <c r="A230" s="11"/>
      <c r="B230" s="11"/>
      <c r="P230" s="12"/>
    </row>
    <row r="231">
      <c r="A231" s="11"/>
      <c r="B231" s="11"/>
      <c r="P231" s="12"/>
    </row>
    <row r="232">
      <c r="A232" s="11"/>
      <c r="B232" s="11"/>
      <c r="P232" s="12"/>
    </row>
    <row r="233">
      <c r="A233" s="11"/>
      <c r="B233" s="11"/>
      <c r="P233" s="12"/>
    </row>
    <row r="234">
      <c r="A234" s="11"/>
      <c r="B234" s="11"/>
      <c r="P234" s="12"/>
    </row>
    <row r="235">
      <c r="A235" s="11"/>
      <c r="B235" s="11"/>
      <c r="P235" s="12"/>
    </row>
    <row r="236">
      <c r="A236" s="11"/>
      <c r="B236" s="11"/>
      <c r="P236" s="12"/>
    </row>
    <row r="237">
      <c r="A237" s="11"/>
      <c r="B237" s="11"/>
      <c r="P237" s="12"/>
    </row>
    <row r="238">
      <c r="A238" s="11"/>
      <c r="B238" s="11"/>
      <c r="P238" s="12"/>
    </row>
    <row r="239">
      <c r="A239" s="11"/>
      <c r="B239" s="11"/>
      <c r="P239" s="12"/>
    </row>
    <row r="240">
      <c r="A240" s="11"/>
      <c r="B240" s="11"/>
      <c r="P240" s="12"/>
    </row>
    <row r="241">
      <c r="A241" s="11"/>
      <c r="B241" s="11"/>
      <c r="P241" s="12"/>
    </row>
    <row r="242">
      <c r="A242" s="11"/>
      <c r="B242" s="11"/>
      <c r="P242" s="12"/>
    </row>
    <row r="243">
      <c r="A243" s="11"/>
      <c r="B243" s="11"/>
      <c r="P243" s="12"/>
    </row>
    <row r="244">
      <c r="A244" s="11"/>
      <c r="B244" s="11"/>
      <c r="P244" s="12"/>
    </row>
    <row r="245">
      <c r="A245" s="11"/>
      <c r="B245" s="11"/>
      <c r="P245" s="12"/>
    </row>
    <row r="246">
      <c r="A246" s="11"/>
      <c r="B246" s="11"/>
      <c r="P246" s="12"/>
    </row>
    <row r="247">
      <c r="A247" s="11"/>
      <c r="B247" s="11"/>
      <c r="P247" s="12"/>
    </row>
    <row r="248">
      <c r="A248" s="11"/>
      <c r="B248" s="11"/>
      <c r="P248" s="12"/>
    </row>
    <row r="249">
      <c r="A249" s="11"/>
      <c r="B249" s="11"/>
      <c r="P249" s="12"/>
    </row>
    <row r="250">
      <c r="A250" s="11"/>
      <c r="B250" s="11"/>
      <c r="P250" s="12"/>
    </row>
    <row r="251">
      <c r="A251" s="11"/>
      <c r="B251" s="11"/>
      <c r="P251" s="12"/>
    </row>
    <row r="252">
      <c r="A252" s="11"/>
      <c r="B252" s="11"/>
      <c r="P252" s="12"/>
    </row>
    <row r="253">
      <c r="A253" s="11"/>
      <c r="B253" s="11"/>
      <c r="P253" s="12"/>
    </row>
    <row r="254">
      <c r="A254" s="11"/>
      <c r="B254" s="11"/>
      <c r="P254" s="12"/>
    </row>
    <row r="255">
      <c r="A255" s="11"/>
      <c r="B255" s="11"/>
      <c r="P255" s="12"/>
    </row>
    <row r="256">
      <c r="A256" s="11"/>
      <c r="B256" s="11"/>
      <c r="P256" s="12"/>
    </row>
    <row r="257">
      <c r="A257" s="11"/>
      <c r="B257" s="11"/>
      <c r="P257" s="12"/>
    </row>
    <row r="258">
      <c r="A258" s="11"/>
      <c r="B258" s="11"/>
      <c r="P258" s="12"/>
    </row>
    <row r="259">
      <c r="A259" s="11"/>
      <c r="B259" s="11"/>
      <c r="P259" s="12"/>
    </row>
    <row r="260">
      <c r="A260" s="11"/>
      <c r="B260" s="11"/>
      <c r="P260" s="12"/>
    </row>
    <row r="261">
      <c r="A261" s="11"/>
      <c r="B261" s="11"/>
      <c r="P261" s="12"/>
    </row>
    <row r="262">
      <c r="A262" s="11"/>
      <c r="B262" s="11"/>
      <c r="P262" s="12"/>
    </row>
    <row r="263">
      <c r="A263" s="11"/>
      <c r="B263" s="11"/>
      <c r="P263" s="12"/>
    </row>
    <row r="264">
      <c r="A264" s="11"/>
      <c r="B264" s="11"/>
      <c r="P264" s="12"/>
    </row>
    <row r="265">
      <c r="A265" s="11"/>
      <c r="B265" s="11"/>
      <c r="P265" s="12"/>
    </row>
    <row r="266">
      <c r="A266" s="11"/>
      <c r="B266" s="11"/>
      <c r="P266" s="12"/>
    </row>
    <row r="267">
      <c r="A267" s="11"/>
      <c r="B267" s="11"/>
      <c r="P267" s="12"/>
    </row>
    <row r="268">
      <c r="A268" s="11"/>
      <c r="B268" s="11"/>
      <c r="P268" s="12"/>
    </row>
    <row r="269">
      <c r="A269" s="11"/>
      <c r="B269" s="11"/>
      <c r="P269" s="12"/>
    </row>
    <row r="270">
      <c r="A270" s="11"/>
      <c r="B270" s="11"/>
      <c r="P270" s="12"/>
    </row>
    <row r="271">
      <c r="A271" s="11"/>
      <c r="B271" s="11"/>
      <c r="P271" s="12"/>
    </row>
    <row r="272">
      <c r="A272" s="11"/>
      <c r="B272" s="11"/>
      <c r="P272" s="12"/>
    </row>
    <row r="273">
      <c r="A273" s="11"/>
      <c r="B273" s="11"/>
      <c r="P273" s="12"/>
    </row>
    <row r="274">
      <c r="A274" s="11"/>
      <c r="B274" s="11"/>
      <c r="P274" s="12"/>
    </row>
    <row r="275">
      <c r="A275" s="11"/>
      <c r="B275" s="11"/>
      <c r="P275" s="12"/>
    </row>
    <row r="276">
      <c r="A276" s="11"/>
      <c r="B276" s="11"/>
      <c r="P276" s="12"/>
    </row>
    <row r="277">
      <c r="A277" s="11"/>
      <c r="B277" s="11"/>
      <c r="P277" s="12"/>
    </row>
    <row r="278">
      <c r="A278" s="11"/>
      <c r="B278" s="11"/>
      <c r="P278" s="12"/>
    </row>
    <row r="279">
      <c r="A279" s="11"/>
      <c r="B279" s="11"/>
      <c r="P279" s="12"/>
    </row>
    <row r="280">
      <c r="A280" s="11"/>
      <c r="B280" s="11"/>
      <c r="P280" s="12"/>
    </row>
    <row r="281">
      <c r="A281" s="11"/>
      <c r="B281" s="11"/>
      <c r="P281" s="12"/>
    </row>
    <row r="282">
      <c r="A282" s="11"/>
      <c r="B282" s="11"/>
      <c r="P282" s="12"/>
    </row>
    <row r="283">
      <c r="A283" s="11"/>
      <c r="B283" s="11"/>
      <c r="P283" s="12"/>
    </row>
    <row r="284">
      <c r="A284" s="11"/>
      <c r="B284" s="11"/>
      <c r="P284" s="12"/>
    </row>
    <row r="285">
      <c r="A285" s="11"/>
      <c r="B285" s="11"/>
      <c r="P285" s="12"/>
    </row>
    <row r="286">
      <c r="A286" s="11"/>
      <c r="B286" s="11"/>
      <c r="P286" s="12"/>
    </row>
    <row r="287">
      <c r="A287" s="11"/>
      <c r="B287" s="11"/>
      <c r="P287" s="12"/>
    </row>
    <row r="288">
      <c r="A288" s="11"/>
      <c r="B288" s="11"/>
      <c r="P288" s="12"/>
    </row>
    <row r="289">
      <c r="A289" s="11"/>
      <c r="B289" s="11"/>
      <c r="P289" s="12"/>
    </row>
    <row r="290">
      <c r="A290" s="11"/>
      <c r="B290" s="11"/>
      <c r="P290" s="12"/>
    </row>
    <row r="291">
      <c r="A291" s="11"/>
      <c r="B291" s="11"/>
      <c r="P291" s="12"/>
    </row>
    <row r="292">
      <c r="A292" s="11"/>
      <c r="B292" s="11"/>
      <c r="P292" s="12"/>
    </row>
    <row r="293">
      <c r="A293" s="11"/>
      <c r="B293" s="11"/>
      <c r="P293" s="12"/>
    </row>
    <row r="294">
      <c r="A294" s="11"/>
      <c r="B294" s="11"/>
      <c r="P294" s="12"/>
    </row>
    <row r="295">
      <c r="A295" s="11"/>
      <c r="B295" s="11"/>
      <c r="P295" s="12"/>
    </row>
    <row r="296">
      <c r="A296" s="11"/>
      <c r="B296" s="11"/>
      <c r="P296" s="12"/>
    </row>
    <row r="297">
      <c r="A297" s="11"/>
      <c r="B297" s="11"/>
      <c r="P297" s="12"/>
    </row>
    <row r="298">
      <c r="A298" s="11"/>
      <c r="B298" s="11"/>
      <c r="P298" s="12"/>
    </row>
    <row r="299">
      <c r="A299" s="11"/>
      <c r="B299" s="11"/>
      <c r="P299" s="12"/>
    </row>
    <row r="300">
      <c r="A300" s="11"/>
      <c r="B300" s="11"/>
      <c r="P300" s="12"/>
    </row>
    <row r="301">
      <c r="A301" s="11"/>
      <c r="B301" s="11"/>
      <c r="P301" s="12"/>
    </row>
    <row r="302">
      <c r="A302" s="11"/>
      <c r="B302" s="11"/>
      <c r="P302" s="12"/>
    </row>
    <row r="303">
      <c r="A303" s="11"/>
      <c r="B303" s="11"/>
      <c r="P303" s="12"/>
    </row>
    <row r="304">
      <c r="A304" s="11"/>
      <c r="B304" s="11"/>
      <c r="P304" s="12"/>
    </row>
    <row r="305">
      <c r="A305" s="11"/>
      <c r="B305" s="11"/>
      <c r="P305" s="12"/>
    </row>
    <row r="306">
      <c r="A306" s="11"/>
      <c r="B306" s="11"/>
      <c r="P306" s="12"/>
    </row>
    <row r="307">
      <c r="A307" s="11"/>
      <c r="B307" s="11"/>
      <c r="P307" s="12"/>
    </row>
    <row r="308">
      <c r="A308" s="11"/>
      <c r="B308" s="11"/>
      <c r="P308" s="12"/>
    </row>
    <row r="309">
      <c r="A309" s="11"/>
      <c r="B309" s="11"/>
      <c r="P309" s="12"/>
    </row>
    <row r="310">
      <c r="A310" s="11"/>
      <c r="B310" s="11"/>
      <c r="P310" s="12"/>
    </row>
    <row r="311">
      <c r="A311" s="11"/>
      <c r="B311" s="11"/>
      <c r="P311" s="12"/>
    </row>
    <row r="312">
      <c r="A312" s="11"/>
      <c r="B312" s="11"/>
      <c r="P312" s="12"/>
    </row>
    <row r="313">
      <c r="A313" s="11"/>
      <c r="B313" s="11"/>
      <c r="P313" s="12"/>
    </row>
    <row r="314">
      <c r="A314" s="11"/>
      <c r="B314" s="11"/>
      <c r="P314" s="12"/>
    </row>
    <row r="315">
      <c r="A315" s="11"/>
      <c r="B315" s="11"/>
      <c r="P315" s="12"/>
    </row>
    <row r="316">
      <c r="A316" s="11"/>
      <c r="B316" s="11"/>
      <c r="P316" s="12"/>
    </row>
    <row r="317">
      <c r="A317" s="11"/>
      <c r="B317" s="11"/>
      <c r="P317" s="12"/>
    </row>
    <row r="318">
      <c r="A318" s="11"/>
      <c r="B318" s="11"/>
      <c r="P318" s="12"/>
    </row>
    <row r="319">
      <c r="A319" s="11"/>
      <c r="B319" s="11"/>
      <c r="P319" s="12"/>
    </row>
    <row r="320">
      <c r="A320" s="11"/>
      <c r="B320" s="11"/>
      <c r="P320" s="12"/>
    </row>
    <row r="321">
      <c r="A321" s="11"/>
      <c r="B321" s="11"/>
      <c r="P321" s="12"/>
    </row>
    <row r="322">
      <c r="A322" s="11"/>
      <c r="B322" s="11"/>
      <c r="P322" s="12"/>
    </row>
    <row r="323">
      <c r="A323" s="11"/>
      <c r="B323" s="11"/>
      <c r="P323" s="12"/>
    </row>
    <row r="324">
      <c r="A324" s="11"/>
      <c r="B324" s="11"/>
      <c r="P324" s="12"/>
    </row>
    <row r="325">
      <c r="A325" s="11"/>
      <c r="B325" s="11"/>
      <c r="P325" s="12"/>
    </row>
    <row r="326">
      <c r="A326" s="11"/>
      <c r="B326" s="11"/>
      <c r="P326" s="12"/>
    </row>
    <row r="327">
      <c r="A327" s="11"/>
      <c r="B327" s="11"/>
      <c r="P327" s="12"/>
    </row>
    <row r="328">
      <c r="A328" s="11"/>
      <c r="B328" s="11"/>
      <c r="P328" s="12"/>
    </row>
    <row r="329">
      <c r="A329" s="11"/>
      <c r="B329" s="11"/>
      <c r="P329" s="12"/>
    </row>
    <row r="330">
      <c r="A330" s="11"/>
      <c r="B330" s="11"/>
      <c r="P330" s="12"/>
    </row>
    <row r="331">
      <c r="A331" s="11"/>
      <c r="B331" s="11"/>
      <c r="P331" s="12"/>
    </row>
    <row r="332">
      <c r="A332" s="11"/>
      <c r="B332" s="11"/>
      <c r="P332" s="12"/>
    </row>
    <row r="333">
      <c r="A333" s="11"/>
      <c r="B333" s="11"/>
      <c r="P333" s="12"/>
    </row>
    <row r="334">
      <c r="A334" s="11"/>
      <c r="B334" s="11"/>
      <c r="P334" s="12"/>
    </row>
    <row r="335">
      <c r="A335" s="11"/>
      <c r="B335" s="11"/>
      <c r="P335" s="12"/>
    </row>
    <row r="336">
      <c r="A336" s="11"/>
      <c r="B336" s="11"/>
      <c r="P336" s="12"/>
    </row>
    <row r="337">
      <c r="A337" s="11"/>
      <c r="B337" s="11"/>
      <c r="P337" s="12"/>
    </row>
    <row r="338">
      <c r="A338" s="11"/>
      <c r="B338" s="11"/>
      <c r="P338" s="12"/>
    </row>
    <row r="339">
      <c r="A339" s="11"/>
      <c r="B339" s="11"/>
      <c r="P339" s="12"/>
    </row>
    <row r="340">
      <c r="A340" s="11"/>
      <c r="B340" s="11"/>
      <c r="P340" s="12"/>
    </row>
    <row r="341">
      <c r="A341" s="11"/>
      <c r="B341" s="11"/>
      <c r="P341" s="12"/>
    </row>
    <row r="342">
      <c r="A342" s="11"/>
      <c r="B342" s="11"/>
      <c r="P342" s="12"/>
    </row>
    <row r="343">
      <c r="A343" s="11"/>
      <c r="B343" s="11"/>
      <c r="P343" s="12"/>
    </row>
    <row r="344">
      <c r="A344" s="11"/>
      <c r="B344" s="11"/>
      <c r="P344" s="12"/>
    </row>
    <row r="345">
      <c r="A345" s="11"/>
      <c r="B345" s="11"/>
      <c r="P345" s="12"/>
    </row>
    <row r="346">
      <c r="A346" s="11"/>
      <c r="B346" s="11"/>
      <c r="P346" s="12"/>
    </row>
    <row r="347">
      <c r="A347" s="11"/>
      <c r="B347" s="11"/>
      <c r="P347" s="12"/>
    </row>
    <row r="348">
      <c r="A348" s="11"/>
      <c r="B348" s="11"/>
      <c r="P348" s="12"/>
    </row>
    <row r="349">
      <c r="A349" s="11"/>
      <c r="B349" s="11"/>
      <c r="P349" s="12"/>
    </row>
    <row r="350">
      <c r="A350" s="11"/>
      <c r="B350" s="11"/>
      <c r="P350" s="12"/>
    </row>
    <row r="351">
      <c r="A351" s="11"/>
      <c r="B351" s="11"/>
      <c r="P351" s="12"/>
    </row>
    <row r="352">
      <c r="A352" s="11"/>
      <c r="B352" s="11"/>
      <c r="P352" s="12"/>
    </row>
    <row r="353">
      <c r="A353" s="11"/>
      <c r="B353" s="11"/>
      <c r="P353" s="12"/>
    </row>
    <row r="354">
      <c r="A354" s="11"/>
      <c r="B354" s="11"/>
      <c r="P354" s="12"/>
    </row>
    <row r="355">
      <c r="A355" s="11"/>
      <c r="B355" s="11"/>
      <c r="P355" s="12"/>
    </row>
    <row r="356">
      <c r="A356" s="11"/>
      <c r="B356" s="11"/>
      <c r="P356" s="12"/>
    </row>
    <row r="357">
      <c r="A357" s="11"/>
      <c r="B357" s="11"/>
      <c r="P357" s="12"/>
    </row>
    <row r="358">
      <c r="A358" s="11"/>
      <c r="B358" s="11"/>
      <c r="P358" s="12"/>
    </row>
    <row r="359">
      <c r="A359" s="11"/>
      <c r="B359" s="11"/>
      <c r="P359" s="12"/>
    </row>
    <row r="360">
      <c r="A360" s="11"/>
      <c r="B360" s="11"/>
      <c r="P360" s="12"/>
    </row>
    <row r="361">
      <c r="A361" s="11"/>
      <c r="B361" s="11"/>
      <c r="P361" s="12"/>
    </row>
    <row r="362">
      <c r="A362" s="11"/>
      <c r="B362" s="11"/>
      <c r="P362" s="12"/>
    </row>
    <row r="363">
      <c r="A363" s="11"/>
      <c r="B363" s="11"/>
      <c r="P363" s="12"/>
    </row>
    <row r="364">
      <c r="A364" s="11"/>
      <c r="B364" s="11"/>
      <c r="P364" s="12"/>
    </row>
    <row r="365">
      <c r="A365" s="11"/>
      <c r="B365" s="11"/>
      <c r="P365" s="12"/>
    </row>
    <row r="366">
      <c r="A366" s="11"/>
      <c r="B366" s="11"/>
      <c r="P366" s="12"/>
    </row>
    <row r="367">
      <c r="A367" s="11"/>
      <c r="B367" s="11"/>
      <c r="P367" s="12"/>
    </row>
    <row r="368">
      <c r="A368" s="11"/>
      <c r="B368" s="11"/>
      <c r="P368" s="12"/>
    </row>
    <row r="369">
      <c r="A369" s="11"/>
      <c r="B369" s="11"/>
      <c r="P369" s="12"/>
    </row>
    <row r="370">
      <c r="A370" s="11"/>
      <c r="B370" s="11"/>
      <c r="P370" s="12"/>
    </row>
    <row r="371">
      <c r="A371" s="11"/>
      <c r="B371" s="11"/>
      <c r="P371" s="12"/>
    </row>
    <row r="372">
      <c r="A372" s="11"/>
      <c r="B372" s="11"/>
      <c r="P372" s="12"/>
    </row>
    <row r="373">
      <c r="A373" s="11"/>
      <c r="B373" s="11"/>
      <c r="P373" s="12"/>
    </row>
    <row r="374">
      <c r="A374" s="11"/>
      <c r="B374" s="11"/>
      <c r="P374" s="12"/>
    </row>
    <row r="375">
      <c r="A375" s="11"/>
      <c r="B375" s="11"/>
      <c r="P375" s="12"/>
    </row>
    <row r="376">
      <c r="A376" s="11"/>
      <c r="B376" s="11"/>
      <c r="P376" s="12"/>
    </row>
    <row r="377">
      <c r="A377" s="11"/>
      <c r="B377" s="11"/>
      <c r="P377" s="12"/>
    </row>
    <row r="378">
      <c r="A378" s="11"/>
      <c r="B378" s="11"/>
      <c r="P378" s="12"/>
    </row>
    <row r="379">
      <c r="A379" s="11"/>
      <c r="B379" s="11"/>
      <c r="P379" s="12"/>
    </row>
    <row r="380">
      <c r="A380" s="11"/>
      <c r="B380" s="11"/>
      <c r="P380" s="12"/>
    </row>
    <row r="381">
      <c r="A381" s="11"/>
      <c r="B381" s="11"/>
      <c r="P381" s="12"/>
    </row>
    <row r="382">
      <c r="A382" s="11"/>
      <c r="B382" s="11"/>
      <c r="P382" s="12"/>
    </row>
    <row r="383">
      <c r="A383" s="11"/>
      <c r="B383" s="11"/>
      <c r="P383" s="12"/>
    </row>
    <row r="384">
      <c r="A384" s="11"/>
      <c r="B384" s="11"/>
      <c r="P384" s="12"/>
    </row>
    <row r="385">
      <c r="A385" s="11"/>
      <c r="B385" s="11"/>
      <c r="P385" s="12"/>
    </row>
    <row r="386">
      <c r="A386" s="11"/>
      <c r="B386" s="11"/>
      <c r="P386" s="12"/>
    </row>
    <row r="387">
      <c r="A387" s="11"/>
      <c r="B387" s="11"/>
      <c r="P387" s="12"/>
    </row>
    <row r="388">
      <c r="A388" s="11"/>
      <c r="B388" s="11"/>
      <c r="P388" s="12"/>
    </row>
    <row r="389">
      <c r="A389" s="11"/>
      <c r="B389" s="11"/>
      <c r="P389" s="12"/>
    </row>
    <row r="390">
      <c r="A390" s="11"/>
      <c r="B390" s="11"/>
      <c r="P390" s="12"/>
    </row>
    <row r="391">
      <c r="A391" s="11"/>
      <c r="B391" s="11"/>
      <c r="P391" s="12"/>
    </row>
    <row r="392">
      <c r="A392" s="11"/>
      <c r="B392" s="11"/>
      <c r="P392" s="12"/>
    </row>
    <row r="393">
      <c r="A393" s="11"/>
      <c r="B393" s="11"/>
      <c r="P393" s="12"/>
    </row>
    <row r="394">
      <c r="A394" s="11"/>
      <c r="B394" s="11"/>
      <c r="P394" s="12"/>
    </row>
    <row r="395">
      <c r="A395" s="11"/>
      <c r="B395" s="11"/>
      <c r="P395" s="12"/>
    </row>
    <row r="396">
      <c r="A396" s="11"/>
      <c r="B396" s="11"/>
      <c r="P396" s="12"/>
    </row>
    <row r="397">
      <c r="A397" s="11"/>
      <c r="B397" s="11"/>
      <c r="P397" s="12"/>
    </row>
    <row r="398">
      <c r="A398" s="11"/>
      <c r="B398" s="11"/>
      <c r="P398" s="12"/>
    </row>
    <row r="399">
      <c r="A399" s="11"/>
      <c r="B399" s="11"/>
      <c r="P399" s="12"/>
    </row>
    <row r="400">
      <c r="A400" s="11"/>
      <c r="B400" s="11"/>
      <c r="P400" s="12"/>
    </row>
    <row r="401">
      <c r="A401" s="11"/>
      <c r="B401" s="11"/>
      <c r="P401" s="12"/>
    </row>
    <row r="402">
      <c r="A402" s="11"/>
      <c r="B402" s="11"/>
      <c r="P402" s="12"/>
    </row>
    <row r="403">
      <c r="A403" s="11"/>
      <c r="B403" s="11"/>
      <c r="P403" s="12"/>
    </row>
    <row r="404">
      <c r="A404" s="11"/>
      <c r="B404" s="11"/>
      <c r="P404" s="12"/>
    </row>
    <row r="405">
      <c r="A405" s="11"/>
      <c r="B405" s="11"/>
      <c r="P405" s="12"/>
    </row>
    <row r="406">
      <c r="A406" s="11"/>
      <c r="B406" s="11"/>
      <c r="P406" s="12"/>
    </row>
    <row r="407">
      <c r="A407" s="11"/>
      <c r="B407" s="11"/>
      <c r="P407" s="12"/>
    </row>
    <row r="408">
      <c r="A408" s="11"/>
      <c r="B408" s="11"/>
      <c r="P408" s="12"/>
    </row>
    <row r="409">
      <c r="A409" s="11"/>
      <c r="B409" s="11"/>
      <c r="P409" s="12"/>
    </row>
    <row r="410">
      <c r="A410" s="11"/>
      <c r="B410" s="11"/>
      <c r="P410" s="12"/>
    </row>
    <row r="411">
      <c r="A411" s="11"/>
      <c r="B411" s="11"/>
      <c r="P411" s="12"/>
    </row>
    <row r="412">
      <c r="A412" s="11"/>
      <c r="B412" s="11"/>
      <c r="P412" s="12"/>
    </row>
    <row r="413">
      <c r="A413" s="11"/>
      <c r="B413" s="11"/>
      <c r="P413" s="12"/>
    </row>
    <row r="414">
      <c r="A414" s="11"/>
      <c r="B414" s="11"/>
      <c r="P414" s="12"/>
    </row>
    <row r="415">
      <c r="A415" s="11"/>
      <c r="B415" s="11"/>
      <c r="P415" s="12"/>
    </row>
    <row r="416">
      <c r="A416" s="11"/>
      <c r="B416" s="11"/>
      <c r="P416" s="12"/>
    </row>
    <row r="417">
      <c r="A417" s="11"/>
      <c r="B417" s="11"/>
      <c r="P417" s="12"/>
    </row>
    <row r="418">
      <c r="A418" s="11"/>
      <c r="B418" s="11"/>
      <c r="P418" s="12"/>
    </row>
    <row r="419">
      <c r="A419" s="11"/>
      <c r="B419" s="11"/>
      <c r="P419" s="12"/>
    </row>
    <row r="420">
      <c r="A420" s="11"/>
      <c r="B420" s="11"/>
      <c r="P420" s="12"/>
    </row>
    <row r="421">
      <c r="A421" s="11"/>
      <c r="B421" s="11"/>
      <c r="P421" s="12"/>
    </row>
    <row r="422">
      <c r="A422" s="11"/>
      <c r="B422" s="11"/>
      <c r="P422" s="12"/>
    </row>
    <row r="423">
      <c r="A423" s="11"/>
      <c r="B423" s="11"/>
      <c r="P423" s="12"/>
    </row>
    <row r="424">
      <c r="A424" s="11"/>
      <c r="B424" s="11"/>
      <c r="P424" s="12"/>
    </row>
    <row r="425">
      <c r="A425" s="11"/>
      <c r="B425" s="11"/>
      <c r="P425" s="12"/>
    </row>
    <row r="426">
      <c r="A426" s="11"/>
      <c r="B426" s="11"/>
      <c r="P426" s="12"/>
    </row>
    <row r="427">
      <c r="A427" s="11"/>
      <c r="B427" s="11"/>
      <c r="P427" s="12"/>
    </row>
    <row r="428">
      <c r="A428" s="11"/>
      <c r="B428" s="11"/>
      <c r="P428" s="12"/>
    </row>
    <row r="429">
      <c r="A429" s="11"/>
      <c r="B429" s="11"/>
      <c r="P429" s="12"/>
    </row>
    <row r="430">
      <c r="A430" s="11"/>
      <c r="B430" s="11"/>
      <c r="P430" s="12"/>
    </row>
    <row r="431">
      <c r="A431" s="11"/>
      <c r="B431" s="11"/>
      <c r="P431" s="12"/>
    </row>
    <row r="432">
      <c r="A432" s="11"/>
      <c r="B432" s="11"/>
      <c r="P432" s="12"/>
    </row>
    <row r="433">
      <c r="A433" s="11"/>
      <c r="B433" s="11"/>
      <c r="P433" s="12"/>
    </row>
    <row r="434">
      <c r="A434" s="11"/>
      <c r="B434" s="11"/>
      <c r="P434" s="12"/>
    </row>
    <row r="435">
      <c r="A435" s="11"/>
      <c r="B435" s="11"/>
      <c r="P435" s="12"/>
    </row>
    <row r="436">
      <c r="A436" s="11"/>
      <c r="B436" s="11"/>
      <c r="P436" s="12"/>
    </row>
    <row r="437">
      <c r="A437" s="11"/>
      <c r="B437" s="11"/>
      <c r="P437" s="12"/>
    </row>
    <row r="438">
      <c r="A438" s="11"/>
      <c r="B438" s="11"/>
      <c r="P438" s="12"/>
    </row>
    <row r="439">
      <c r="A439" s="11"/>
      <c r="B439" s="11"/>
      <c r="P439" s="12"/>
    </row>
    <row r="440">
      <c r="A440" s="11"/>
      <c r="B440" s="11"/>
      <c r="P440" s="12"/>
    </row>
    <row r="441">
      <c r="A441" s="11"/>
      <c r="B441" s="11"/>
      <c r="P441" s="12"/>
    </row>
    <row r="442">
      <c r="A442" s="11"/>
      <c r="B442" s="11"/>
      <c r="P442" s="12"/>
    </row>
    <row r="443">
      <c r="A443" s="11"/>
      <c r="B443" s="11"/>
      <c r="P443" s="12"/>
    </row>
    <row r="444">
      <c r="A444" s="11"/>
      <c r="B444" s="11"/>
      <c r="P444" s="12"/>
    </row>
    <row r="445">
      <c r="A445" s="11"/>
      <c r="B445" s="11"/>
      <c r="P445" s="12"/>
    </row>
    <row r="446">
      <c r="A446" s="11"/>
      <c r="B446" s="11"/>
      <c r="P446" s="12"/>
    </row>
    <row r="447">
      <c r="A447" s="11"/>
      <c r="B447" s="11"/>
      <c r="P447" s="12"/>
    </row>
    <row r="448">
      <c r="A448" s="11"/>
      <c r="B448" s="11"/>
      <c r="P448" s="12"/>
    </row>
    <row r="449">
      <c r="A449" s="11"/>
      <c r="B449" s="11"/>
      <c r="P449" s="12"/>
    </row>
    <row r="450">
      <c r="A450" s="11"/>
      <c r="B450" s="11"/>
      <c r="P450" s="12"/>
    </row>
    <row r="451">
      <c r="A451" s="11"/>
      <c r="B451" s="11"/>
      <c r="P451" s="12"/>
    </row>
    <row r="452">
      <c r="A452" s="11"/>
      <c r="B452" s="11"/>
      <c r="P452" s="12"/>
    </row>
    <row r="453">
      <c r="A453" s="11"/>
      <c r="B453" s="11"/>
      <c r="P453" s="12"/>
    </row>
    <row r="454">
      <c r="A454" s="11"/>
      <c r="B454" s="11"/>
      <c r="P454" s="12"/>
    </row>
    <row r="455">
      <c r="A455" s="11"/>
      <c r="B455" s="11"/>
      <c r="P455" s="12"/>
    </row>
    <row r="456">
      <c r="A456" s="11"/>
      <c r="B456" s="11"/>
      <c r="P456" s="12"/>
    </row>
    <row r="457">
      <c r="A457" s="11"/>
      <c r="B457" s="11"/>
      <c r="P457" s="12"/>
    </row>
    <row r="458">
      <c r="A458" s="11"/>
      <c r="B458" s="11"/>
      <c r="P458" s="12"/>
    </row>
    <row r="459">
      <c r="A459" s="11"/>
      <c r="B459" s="11"/>
      <c r="P459" s="12"/>
    </row>
    <row r="460">
      <c r="A460" s="11"/>
      <c r="B460" s="11"/>
      <c r="P460" s="12"/>
    </row>
    <row r="461">
      <c r="A461" s="11"/>
      <c r="B461" s="11"/>
      <c r="P461" s="12"/>
    </row>
    <row r="462">
      <c r="A462" s="11"/>
      <c r="B462" s="11"/>
      <c r="P462" s="12"/>
    </row>
    <row r="463">
      <c r="A463" s="11"/>
      <c r="B463" s="11"/>
      <c r="P463" s="12"/>
    </row>
    <row r="464">
      <c r="A464" s="11"/>
      <c r="B464" s="11"/>
      <c r="P464" s="12"/>
    </row>
    <row r="465">
      <c r="A465" s="11"/>
      <c r="B465" s="11"/>
      <c r="P465" s="12"/>
    </row>
    <row r="466">
      <c r="A466" s="11"/>
      <c r="B466" s="11"/>
      <c r="P466" s="12"/>
    </row>
    <row r="467">
      <c r="A467" s="11"/>
      <c r="B467" s="11"/>
      <c r="P467" s="12"/>
    </row>
    <row r="468">
      <c r="A468" s="11"/>
      <c r="B468" s="11"/>
      <c r="P468" s="12"/>
    </row>
    <row r="469">
      <c r="A469" s="11"/>
      <c r="B469" s="11"/>
      <c r="P469" s="12"/>
    </row>
    <row r="470">
      <c r="A470" s="11"/>
      <c r="B470" s="11"/>
      <c r="P470" s="12"/>
    </row>
    <row r="471">
      <c r="A471" s="11"/>
      <c r="B471" s="11"/>
      <c r="P471" s="12"/>
    </row>
    <row r="472">
      <c r="A472" s="11"/>
      <c r="B472" s="11"/>
      <c r="P472" s="12"/>
    </row>
    <row r="473">
      <c r="A473" s="11"/>
      <c r="B473" s="11"/>
      <c r="P473" s="12"/>
    </row>
    <row r="474">
      <c r="A474" s="11"/>
      <c r="B474" s="11"/>
      <c r="P474" s="12"/>
    </row>
    <row r="475">
      <c r="A475" s="11"/>
      <c r="B475" s="11"/>
      <c r="P475" s="12"/>
    </row>
    <row r="476">
      <c r="A476" s="11"/>
      <c r="B476" s="11"/>
      <c r="P476" s="12"/>
    </row>
    <row r="477">
      <c r="A477" s="11"/>
      <c r="B477" s="11"/>
      <c r="P477" s="12"/>
    </row>
    <row r="478">
      <c r="A478" s="11"/>
      <c r="B478" s="11"/>
      <c r="P478" s="12"/>
    </row>
    <row r="479">
      <c r="A479" s="11"/>
      <c r="B479" s="11"/>
      <c r="P479" s="12"/>
    </row>
    <row r="480">
      <c r="A480" s="11"/>
      <c r="B480" s="11"/>
      <c r="P480" s="12"/>
    </row>
    <row r="481">
      <c r="A481" s="11"/>
      <c r="B481" s="11"/>
      <c r="P481" s="12"/>
    </row>
    <row r="482">
      <c r="A482" s="11"/>
      <c r="B482" s="11"/>
      <c r="P482" s="12"/>
    </row>
    <row r="483">
      <c r="A483" s="11"/>
      <c r="B483" s="11"/>
      <c r="P483" s="12"/>
    </row>
    <row r="484">
      <c r="A484" s="11"/>
      <c r="B484" s="11"/>
      <c r="P484" s="12"/>
    </row>
    <row r="485">
      <c r="A485" s="11"/>
      <c r="B485" s="11"/>
      <c r="P485" s="12"/>
    </row>
    <row r="486">
      <c r="A486" s="11"/>
      <c r="B486" s="11"/>
      <c r="P486" s="12"/>
    </row>
    <row r="487">
      <c r="A487" s="11"/>
      <c r="B487" s="11"/>
      <c r="P487" s="12"/>
    </row>
    <row r="488">
      <c r="A488" s="11"/>
      <c r="B488" s="11"/>
      <c r="P488" s="12"/>
    </row>
    <row r="489">
      <c r="A489" s="11"/>
      <c r="B489" s="11"/>
      <c r="P489" s="12"/>
    </row>
    <row r="490">
      <c r="A490" s="11"/>
      <c r="B490" s="11"/>
      <c r="P490" s="12"/>
    </row>
    <row r="491">
      <c r="A491" s="11"/>
      <c r="B491" s="11"/>
      <c r="P491" s="12"/>
    </row>
    <row r="492">
      <c r="A492" s="11"/>
      <c r="B492" s="11"/>
      <c r="P492" s="12"/>
    </row>
    <row r="493">
      <c r="A493" s="11"/>
      <c r="B493" s="11"/>
      <c r="P493" s="12"/>
    </row>
    <row r="494">
      <c r="A494" s="11"/>
      <c r="B494" s="11"/>
      <c r="P494" s="12"/>
    </row>
    <row r="495">
      <c r="A495" s="11"/>
      <c r="B495" s="11"/>
      <c r="P495" s="12"/>
    </row>
    <row r="496">
      <c r="A496" s="11"/>
      <c r="B496" s="11"/>
      <c r="P496" s="12"/>
    </row>
    <row r="497">
      <c r="A497" s="11"/>
      <c r="B497" s="11"/>
      <c r="P497" s="12"/>
    </row>
    <row r="498">
      <c r="A498" s="11"/>
      <c r="B498" s="11"/>
      <c r="P498" s="12"/>
    </row>
    <row r="499">
      <c r="A499" s="11"/>
      <c r="B499" s="11"/>
      <c r="P499" s="12"/>
    </row>
    <row r="500">
      <c r="A500" s="11"/>
      <c r="B500" s="11"/>
      <c r="P500" s="12"/>
    </row>
    <row r="501">
      <c r="A501" s="11"/>
      <c r="B501" s="11"/>
      <c r="P501" s="12"/>
    </row>
    <row r="502">
      <c r="A502" s="11"/>
      <c r="B502" s="11"/>
      <c r="P502" s="12"/>
    </row>
    <row r="503">
      <c r="A503" s="11"/>
      <c r="B503" s="11"/>
      <c r="P503" s="12"/>
    </row>
    <row r="504">
      <c r="A504" s="11"/>
      <c r="B504" s="11"/>
      <c r="P504" s="12"/>
    </row>
    <row r="505">
      <c r="A505" s="11"/>
      <c r="B505" s="11"/>
      <c r="P505" s="12"/>
    </row>
    <row r="506">
      <c r="A506" s="11"/>
      <c r="B506" s="11"/>
      <c r="P506" s="12"/>
    </row>
    <row r="507">
      <c r="A507" s="11"/>
      <c r="B507" s="11"/>
      <c r="P507" s="12"/>
    </row>
    <row r="508">
      <c r="A508" s="11"/>
      <c r="B508" s="11"/>
      <c r="P508" s="12"/>
    </row>
    <row r="509">
      <c r="A509" s="11"/>
      <c r="B509" s="11"/>
      <c r="P509" s="12"/>
    </row>
    <row r="510">
      <c r="A510" s="11"/>
      <c r="B510" s="11"/>
      <c r="P510" s="12"/>
    </row>
    <row r="511">
      <c r="A511" s="11"/>
      <c r="B511" s="11"/>
      <c r="P511" s="12"/>
    </row>
    <row r="512">
      <c r="A512" s="11"/>
      <c r="B512" s="11"/>
      <c r="P512" s="12"/>
    </row>
    <row r="513">
      <c r="A513" s="11"/>
      <c r="B513" s="11"/>
      <c r="P513" s="12"/>
    </row>
    <row r="514">
      <c r="A514" s="11"/>
      <c r="B514" s="11"/>
      <c r="P514" s="12"/>
    </row>
    <row r="515">
      <c r="A515" s="11"/>
      <c r="B515" s="11"/>
      <c r="P515" s="12"/>
    </row>
    <row r="516">
      <c r="A516" s="11"/>
      <c r="B516" s="11"/>
      <c r="P516" s="12"/>
    </row>
    <row r="517">
      <c r="A517" s="11"/>
      <c r="B517" s="11"/>
      <c r="P517" s="12"/>
    </row>
    <row r="518">
      <c r="A518" s="11"/>
      <c r="B518" s="11"/>
      <c r="P518" s="12"/>
    </row>
    <row r="519">
      <c r="A519" s="11"/>
      <c r="B519" s="11"/>
      <c r="P519" s="12"/>
    </row>
    <row r="520">
      <c r="A520" s="11"/>
      <c r="B520" s="11"/>
      <c r="P520" s="12"/>
    </row>
    <row r="521">
      <c r="A521" s="11"/>
      <c r="B521" s="11"/>
      <c r="P521" s="12"/>
    </row>
    <row r="522">
      <c r="A522" s="11"/>
      <c r="B522" s="11"/>
      <c r="P522" s="12"/>
    </row>
    <row r="523">
      <c r="A523" s="11"/>
      <c r="B523" s="11"/>
      <c r="P523" s="12"/>
    </row>
    <row r="524">
      <c r="A524" s="11"/>
      <c r="B524" s="11"/>
      <c r="P524" s="12"/>
    </row>
    <row r="525">
      <c r="A525" s="11"/>
      <c r="B525" s="11"/>
      <c r="P525" s="12"/>
    </row>
    <row r="526">
      <c r="A526" s="11"/>
      <c r="B526" s="11"/>
      <c r="P526" s="12"/>
    </row>
    <row r="527">
      <c r="A527" s="11"/>
      <c r="B527" s="11"/>
      <c r="P527" s="12"/>
    </row>
    <row r="528">
      <c r="A528" s="11"/>
      <c r="B528" s="11"/>
      <c r="P528" s="12"/>
    </row>
    <row r="529">
      <c r="A529" s="11"/>
      <c r="B529" s="11"/>
      <c r="P529" s="12"/>
    </row>
    <row r="530">
      <c r="A530" s="11"/>
      <c r="B530" s="11"/>
      <c r="P530" s="12"/>
    </row>
    <row r="531">
      <c r="A531" s="11"/>
      <c r="B531" s="11"/>
      <c r="P531" s="12"/>
    </row>
    <row r="532">
      <c r="A532" s="11"/>
      <c r="B532" s="11"/>
      <c r="P532" s="12"/>
    </row>
    <row r="533">
      <c r="A533" s="11"/>
      <c r="B533" s="11"/>
      <c r="P533" s="12"/>
    </row>
    <row r="534">
      <c r="A534" s="11"/>
      <c r="B534" s="11"/>
      <c r="P534" s="12"/>
    </row>
    <row r="535">
      <c r="A535" s="11"/>
      <c r="B535" s="11"/>
      <c r="P535" s="12"/>
    </row>
    <row r="536">
      <c r="A536" s="11"/>
      <c r="B536" s="11"/>
      <c r="P536" s="12"/>
    </row>
    <row r="537">
      <c r="A537" s="11"/>
      <c r="B537" s="11"/>
      <c r="P537" s="12"/>
    </row>
    <row r="538">
      <c r="A538" s="11"/>
      <c r="B538" s="11"/>
      <c r="P538" s="12"/>
    </row>
    <row r="539">
      <c r="A539" s="11"/>
      <c r="B539" s="11"/>
      <c r="P539" s="12"/>
    </row>
    <row r="540">
      <c r="A540" s="11"/>
      <c r="B540" s="11"/>
      <c r="P540" s="12"/>
    </row>
    <row r="541">
      <c r="A541" s="11"/>
      <c r="B541" s="11"/>
      <c r="P541" s="12"/>
    </row>
    <row r="542">
      <c r="A542" s="11"/>
      <c r="B542" s="11"/>
      <c r="P542" s="12"/>
    </row>
    <row r="543">
      <c r="A543" s="11"/>
      <c r="B543" s="11"/>
      <c r="P543" s="12"/>
    </row>
    <row r="544">
      <c r="A544" s="11"/>
      <c r="B544" s="11"/>
      <c r="P544" s="12"/>
    </row>
    <row r="545">
      <c r="A545" s="11"/>
      <c r="B545" s="11"/>
      <c r="P545" s="12"/>
    </row>
    <row r="546">
      <c r="A546" s="11"/>
      <c r="B546" s="11"/>
      <c r="P546" s="12"/>
    </row>
    <row r="547">
      <c r="A547" s="11"/>
      <c r="B547" s="11"/>
      <c r="P547" s="12"/>
    </row>
    <row r="548">
      <c r="A548" s="11"/>
      <c r="B548" s="11"/>
      <c r="P548" s="12"/>
    </row>
    <row r="549">
      <c r="A549" s="11"/>
      <c r="B549" s="11"/>
      <c r="P549" s="12"/>
    </row>
    <row r="550">
      <c r="A550" s="11"/>
      <c r="B550" s="11"/>
      <c r="P550" s="12"/>
    </row>
    <row r="551">
      <c r="A551" s="11"/>
      <c r="B551" s="11"/>
      <c r="P551" s="12"/>
    </row>
    <row r="552">
      <c r="A552" s="11"/>
      <c r="B552" s="11"/>
      <c r="P552" s="12"/>
    </row>
    <row r="553">
      <c r="A553" s="11"/>
      <c r="B553" s="11"/>
      <c r="P553" s="12"/>
    </row>
    <row r="554">
      <c r="A554" s="11"/>
      <c r="B554" s="11"/>
      <c r="P554" s="12"/>
    </row>
    <row r="555">
      <c r="A555" s="11"/>
      <c r="B555" s="11"/>
      <c r="P555" s="12"/>
    </row>
    <row r="556">
      <c r="A556" s="11"/>
      <c r="B556" s="11"/>
      <c r="P556" s="12"/>
    </row>
    <row r="557">
      <c r="A557" s="11"/>
      <c r="B557" s="11"/>
      <c r="P557" s="12"/>
    </row>
    <row r="558">
      <c r="A558" s="11"/>
      <c r="B558" s="11"/>
      <c r="P558" s="12"/>
    </row>
    <row r="559">
      <c r="A559" s="11"/>
      <c r="B559" s="11"/>
      <c r="P559" s="12"/>
    </row>
    <row r="560">
      <c r="A560" s="11"/>
      <c r="B560" s="11"/>
      <c r="P560" s="12"/>
    </row>
    <row r="561">
      <c r="A561" s="11"/>
      <c r="B561" s="11"/>
      <c r="P561" s="12"/>
    </row>
    <row r="562">
      <c r="A562" s="11"/>
      <c r="B562" s="11"/>
      <c r="P562" s="12"/>
    </row>
    <row r="563">
      <c r="A563" s="11"/>
      <c r="B563" s="11"/>
      <c r="P563" s="12"/>
    </row>
    <row r="564">
      <c r="A564" s="11"/>
      <c r="B564" s="11"/>
      <c r="P564" s="12"/>
    </row>
    <row r="565">
      <c r="A565" s="11"/>
      <c r="B565" s="11"/>
      <c r="P565" s="12"/>
    </row>
    <row r="566">
      <c r="A566" s="11"/>
      <c r="B566" s="11"/>
      <c r="P566" s="12"/>
    </row>
    <row r="567">
      <c r="A567" s="11"/>
      <c r="B567" s="11"/>
      <c r="P567" s="12"/>
    </row>
    <row r="568">
      <c r="A568" s="11"/>
      <c r="B568" s="11"/>
      <c r="P568" s="12"/>
    </row>
    <row r="569">
      <c r="A569" s="11"/>
      <c r="B569" s="11"/>
      <c r="P569" s="12"/>
    </row>
    <row r="570">
      <c r="A570" s="11"/>
      <c r="B570" s="11"/>
      <c r="P570" s="12"/>
    </row>
    <row r="571">
      <c r="A571" s="11"/>
      <c r="B571" s="11"/>
      <c r="P571" s="12"/>
    </row>
    <row r="572">
      <c r="A572" s="11"/>
      <c r="B572" s="11"/>
      <c r="P572" s="12"/>
    </row>
    <row r="573">
      <c r="A573" s="11"/>
      <c r="B573" s="11"/>
      <c r="P573" s="12"/>
    </row>
    <row r="574">
      <c r="A574" s="11"/>
      <c r="B574" s="11"/>
      <c r="P574" s="12"/>
    </row>
    <row r="575">
      <c r="A575" s="11"/>
      <c r="B575" s="11"/>
      <c r="P575" s="12"/>
    </row>
    <row r="576">
      <c r="A576" s="11"/>
      <c r="B576" s="11"/>
      <c r="P576" s="12"/>
    </row>
    <row r="577">
      <c r="A577" s="11"/>
      <c r="B577" s="11"/>
      <c r="P577" s="12"/>
    </row>
    <row r="578">
      <c r="A578" s="11"/>
      <c r="B578" s="11"/>
      <c r="P578" s="12"/>
    </row>
    <row r="579">
      <c r="A579" s="11"/>
      <c r="B579" s="11"/>
      <c r="P579" s="12"/>
    </row>
    <row r="580">
      <c r="A580" s="11"/>
      <c r="B580" s="11"/>
      <c r="P580" s="12"/>
    </row>
    <row r="581">
      <c r="A581" s="11"/>
      <c r="B581" s="11"/>
      <c r="P581" s="12"/>
    </row>
    <row r="582">
      <c r="A582" s="11"/>
      <c r="B582" s="11"/>
      <c r="P582" s="12"/>
    </row>
    <row r="583">
      <c r="A583" s="11"/>
      <c r="B583" s="11"/>
      <c r="P583" s="12"/>
    </row>
    <row r="584">
      <c r="A584" s="11"/>
      <c r="B584" s="11"/>
      <c r="P584" s="12"/>
    </row>
    <row r="585">
      <c r="A585" s="11"/>
      <c r="B585" s="11"/>
      <c r="P585" s="12"/>
    </row>
    <row r="586">
      <c r="A586" s="11"/>
      <c r="B586" s="11"/>
      <c r="P586" s="12"/>
    </row>
    <row r="587">
      <c r="A587" s="11"/>
      <c r="B587" s="11"/>
      <c r="P587" s="12"/>
    </row>
    <row r="588">
      <c r="A588" s="11"/>
      <c r="B588" s="11"/>
      <c r="P588" s="12"/>
    </row>
    <row r="589">
      <c r="A589" s="11"/>
      <c r="B589" s="11"/>
      <c r="P589" s="12"/>
    </row>
    <row r="590">
      <c r="A590" s="11"/>
      <c r="B590" s="11"/>
      <c r="P590" s="12"/>
    </row>
    <row r="591">
      <c r="A591" s="11"/>
      <c r="B591" s="11"/>
      <c r="P591" s="12"/>
    </row>
    <row r="592">
      <c r="A592" s="11"/>
      <c r="B592" s="11"/>
      <c r="P592" s="12"/>
    </row>
    <row r="593">
      <c r="A593" s="11"/>
      <c r="B593" s="11"/>
      <c r="P593" s="12"/>
    </row>
    <row r="594">
      <c r="A594" s="11"/>
      <c r="B594" s="11"/>
      <c r="P594" s="12"/>
    </row>
    <row r="595">
      <c r="A595" s="11"/>
      <c r="B595" s="11"/>
      <c r="P595" s="12"/>
    </row>
    <row r="596">
      <c r="A596" s="11"/>
      <c r="B596" s="11"/>
      <c r="P596" s="12"/>
    </row>
    <row r="597">
      <c r="A597" s="11"/>
      <c r="B597" s="11"/>
      <c r="P597" s="12"/>
    </row>
    <row r="598">
      <c r="A598" s="11"/>
      <c r="B598" s="11"/>
      <c r="P598" s="12"/>
    </row>
    <row r="599">
      <c r="A599" s="11"/>
      <c r="B599" s="11"/>
      <c r="P599" s="12"/>
    </row>
    <row r="600">
      <c r="A600" s="11"/>
      <c r="B600" s="11"/>
      <c r="P600" s="12"/>
    </row>
    <row r="601">
      <c r="A601" s="11"/>
      <c r="B601" s="11"/>
      <c r="P601" s="12"/>
    </row>
    <row r="602">
      <c r="A602" s="11"/>
      <c r="B602" s="11"/>
      <c r="P602" s="12"/>
    </row>
    <row r="603">
      <c r="A603" s="11"/>
      <c r="B603" s="11"/>
      <c r="P603" s="12"/>
    </row>
    <row r="604">
      <c r="A604" s="11"/>
      <c r="B604" s="11"/>
      <c r="P604" s="12"/>
    </row>
    <row r="605">
      <c r="A605" s="11"/>
      <c r="B605" s="11"/>
      <c r="P605" s="12"/>
    </row>
    <row r="606">
      <c r="A606" s="11"/>
      <c r="B606" s="11"/>
      <c r="P606" s="12"/>
    </row>
    <row r="607">
      <c r="A607" s="11"/>
      <c r="B607" s="11"/>
      <c r="P607" s="12"/>
    </row>
    <row r="608">
      <c r="A608" s="11"/>
      <c r="B608" s="11"/>
      <c r="P608" s="12"/>
    </row>
    <row r="609">
      <c r="A609" s="11"/>
      <c r="B609" s="11"/>
      <c r="P609" s="12"/>
    </row>
    <row r="610">
      <c r="A610" s="11"/>
      <c r="B610" s="11"/>
      <c r="P610" s="12"/>
    </row>
    <row r="611">
      <c r="A611" s="11"/>
      <c r="B611" s="11"/>
      <c r="P611" s="12"/>
    </row>
    <row r="612">
      <c r="A612" s="11"/>
      <c r="B612" s="11"/>
      <c r="P612" s="12"/>
    </row>
    <row r="613">
      <c r="A613" s="11"/>
      <c r="B613" s="11"/>
      <c r="P613" s="12"/>
    </row>
    <row r="614">
      <c r="A614" s="11"/>
      <c r="B614" s="11"/>
      <c r="P614" s="12"/>
    </row>
    <row r="615">
      <c r="A615" s="11"/>
      <c r="B615" s="11"/>
      <c r="P615" s="12"/>
    </row>
    <row r="616">
      <c r="A616" s="11"/>
      <c r="B616" s="11"/>
      <c r="P616" s="12"/>
    </row>
    <row r="617">
      <c r="A617" s="11"/>
      <c r="B617" s="11"/>
      <c r="P617" s="12"/>
    </row>
    <row r="618">
      <c r="A618" s="11"/>
      <c r="B618" s="11"/>
      <c r="P618" s="12"/>
    </row>
    <row r="619">
      <c r="A619" s="11"/>
      <c r="B619" s="11"/>
      <c r="P619" s="12"/>
    </row>
    <row r="620">
      <c r="A620" s="11"/>
      <c r="B620" s="11"/>
      <c r="P620" s="12"/>
    </row>
    <row r="621">
      <c r="A621" s="11"/>
      <c r="B621" s="11"/>
      <c r="P621" s="12"/>
    </row>
    <row r="622">
      <c r="A622" s="11"/>
      <c r="B622" s="11"/>
      <c r="P622" s="12"/>
    </row>
    <row r="623">
      <c r="A623" s="11"/>
      <c r="B623" s="11"/>
      <c r="P623" s="12"/>
    </row>
    <row r="624">
      <c r="A624" s="11"/>
      <c r="B624" s="11"/>
      <c r="P624" s="12"/>
    </row>
    <row r="625">
      <c r="A625" s="11"/>
      <c r="B625" s="11"/>
      <c r="P625" s="12"/>
    </row>
    <row r="626">
      <c r="A626" s="11"/>
      <c r="B626" s="11"/>
      <c r="P626" s="12"/>
    </row>
    <row r="627">
      <c r="A627" s="11"/>
      <c r="B627" s="11"/>
      <c r="P627" s="12"/>
    </row>
    <row r="628">
      <c r="A628" s="11"/>
      <c r="B628" s="11"/>
      <c r="P628" s="12"/>
    </row>
    <row r="629">
      <c r="A629" s="11"/>
      <c r="B629" s="11"/>
      <c r="P629" s="12"/>
    </row>
    <row r="630">
      <c r="A630" s="11"/>
      <c r="B630" s="11"/>
      <c r="P630" s="12"/>
    </row>
    <row r="631">
      <c r="A631" s="11"/>
      <c r="B631" s="11"/>
      <c r="P631" s="12"/>
    </row>
    <row r="632">
      <c r="A632" s="11"/>
      <c r="B632" s="11"/>
      <c r="P632" s="12"/>
    </row>
    <row r="633">
      <c r="A633" s="11"/>
      <c r="B633" s="11"/>
      <c r="P633" s="12"/>
    </row>
    <row r="634">
      <c r="A634" s="11"/>
      <c r="B634" s="11"/>
      <c r="P634" s="12"/>
    </row>
    <row r="635">
      <c r="A635" s="11"/>
      <c r="B635" s="11"/>
      <c r="P635" s="12"/>
    </row>
    <row r="636">
      <c r="A636" s="11"/>
      <c r="B636" s="11"/>
      <c r="P636" s="12"/>
    </row>
    <row r="637">
      <c r="A637" s="11"/>
      <c r="B637" s="11"/>
      <c r="P637" s="12"/>
    </row>
    <row r="638">
      <c r="A638" s="11"/>
      <c r="B638" s="11"/>
      <c r="P638" s="12"/>
    </row>
    <row r="639">
      <c r="A639" s="11"/>
      <c r="B639" s="11"/>
      <c r="P639" s="12"/>
    </row>
    <row r="640">
      <c r="A640" s="11"/>
      <c r="B640" s="11"/>
      <c r="P640" s="12"/>
    </row>
    <row r="641">
      <c r="A641" s="11"/>
      <c r="B641" s="11"/>
      <c r="P641" s="12"/>
    </row>
    <row r="642">
      <c r="A642" s="11"/>
      <c r="B642" s="11"/>
      <c r="P642" s="12"/>
    </row>
    <row r="643">
      <c r="A643" s="11"/>
      <c r="B643" s="11"/>
      <c r="P643" s="12"/>
    </row>
    <row r="644">
      <c r="A644" s="11"/>
      <c r="B644" s="11"/>
      <c r="P644" s="12"/>
    </row>
    <row r="645">
      <c r="A645" s="11"/>
      <c r="B645" s="11"/>
      <c r="P645" s="12"/>
    </row>
    <row r="646">
      <c r="A646" s="11"/>
      <c r="B646" s="11"/>
      <c r="P646" s="12"/>
    </row>
    <row r="647">
      <c r="A647" s="11"/>
      <c r="B647" s="11"/>
      <c r="P647" s="12"/>
    </row>
    <row r="648">
      <c r="A648" s="11"/>
      <c r="B648" s="11"/>
      <c r="P648" s="12"/>
    </row>
    <row r="649">
      <c r="A649" s="11"/>
      <c r="B649" s="11"/>
      <c r="P649" s="12"/>
    </row>
    <row r="650">
      <c r="A650" s="11"/>
      <c r="B650" s="11"/>
      <c r="P650" s="12"/>
    </row>
    <row r="651">
      <c r="A651" s="11"/>
      <c r="B651" s="11"/>
      <c r="P651" s="12"/>
    </row>
    <row r="652">
      <c r="A652" s="11"/>
      <c r="B652" s="11"/>
      <c r="P652" s="12"/>
    </row>
    <row r="653">
      <c r="A653" s="11"/>
      <c r="B653" s="11"/>
      <c r="P653" s="12"/>
    </row>
    <row r="654">
      <c r="A654" s="11"/>
      <c r="B654" s="11"/>
      <c r="P654" s="12"/>
    </row>
    <row r="655">
      <c r="A655" s="11"/>
      <c r="B655" s="11"/>
      <c r="P655" s="12"/>
    </row>
    <row r="656">
      <c r="A656" s="11"/>
      <c r="B656" s="11"/>
      <c r="P656" s="12"/>
    </row>
    <row r="657">
      <c r="A657" s="11"/>
      <c r="B657" s="11"/>
      <c r="P657" s="12"/>
    </row>
    <row r="658">
      <c r="A658" s="11"/>
      <c r="B658" s="11"/>
      <c r="P658" s="12"/>
    </row>
    <row r="659">
      <c r="A659" s="11"/>
      <c r="B659" s="11"/>
      <c r="P659" s="12"/>
    </row>
    <row r="660">
      <c r="A660" s="11"/>
      <c r="B660" s="11"/>
      <c r="P660" s="12"/>
    </row>
    <row r="661">
      <c r="A661" s="11"/>
      <c r="B661" s="11"/>
      <c r="P661" s="12"/>
    </row>
    <row r="662">
      <c r="A662" s="11"/>
      <c r="B662" s="11"/>
      <c r="P662" s="12"/>
    </row>
    <row r="663">
      <c r="A663" s="11"/>
      <c r="B663" s="11"/>
      <c r="P663" s="12"/>
    </row>
    <row r="664">
      <c r="A664" s="11"/>
      <c r="B664" s="11"/>
      <c r="P664" s="12"/>
    </row>
    <row r="665">
      <c r="A665" s="11"/>
      <c r="B665" s="11"/>
      <c r="P665" s="12"/>
    </row>
    <row r="666">
      <c r="A666" s="11"/>
      <c r="B666" s="11"/>
      <c r="P666" s="12"/>
    </row>
    <row r="667">
      <c r="A667" s="11"/>
      <c r="B667" s="11"/>
      <c r="P667" s="12"/>
    </row>
    <row r="668">
      <c r="A668" s="11"/>
      <c r="B668" s="11"/>
      <c r="P668" s="12"/>
    </row>
    <row r="669">
      <c r="A669" s="11"/>
      <c r="B669" s="11"/>
      <c r="P669" s="12"/>
    </row>
    <row r="670">
      <c r="A670" s="11"/>
      <c r="B670" s="11"/>
      <c r="P670" s="12"/>
    </row>
    <row r="671">
      <c r="A671" s="11"/>
      <c r="B671" s="11"/>
      <c r="P671" s="12"/>
    </row>
    <row r="672">
      <c r="A672" s="11"/>
      <c r="B672" s="11"/>
      <c r="P672" s="12"/>
    </row>
    <row r="673">
      <c r="A673" s="11"/>
      <c r="B673" s="11"/>
      <c r="P673" s="12"/>
    </row>
    <row r="674">
      <c r="A674" s="11"/>
      <c r="B674" s="11"/>
      <c r="P674" s="12"/>
    </row>
    <row r="675">
      <c r="A675" s="11"/>
      <c r="B675" s="11"/>
      <c r="P675" s="12"/>
    </row>
    <row r="676">
      <c r="A676" s="11"/>
      <c r="B676" s="11"/>
      <c r="P676" s="12"/>
    </row>
    <row r="677">
      <c r="A677" s="11"/>
      <c r="B677" s="11"/>
      <c r="P677" s="12"/>
    </row>
    <row r="678">
      <c r="A678" s="11"/>
      <c r="B678" s="11"/>
      <c r="P678" s="12"/>
    </row>
    <row r="679">
      <c r="A679" s="11"/>
      <c r="B679" s="11"/>
      <c r="P679" s="12"/>
    </row>
    <row r="680">
      <c r="A680" s="11"/>
      <c r="B680" s="11"/>
      <c r="P680" s="12"/>
    </row>
    <row r="681">
      <c r="A681" s="11"/>
      <c r="B681" s="11"/>
      <c r="P681" s="12"/>
    </row>
    <row r="682">
      <c r="A682" s="11"/>
      <c r="B682" s="11"/>
      <c r="P682" s="12"/>
    </row>
    <row r="683">
      <c r="A683" s="11"/>
      <c r="B683" s="11"/>
      <c r="P683" s="12"/>
    </row>
    <row r="684">
      <c r="A684" s="11"/>
      <c r="B684" s="11"/>
      <c r="P684" s="12"/>
    </row>
    <row r="685">
      <c r="A685" s="11"/>
      <c r="B685" s="11"/>
      <c r="P685" s="12"/>
    </row>
    <row r="686">
      <c r="A686" s="11"/>
      <c r="B686" s="11"/>
      <c r="P686" s="12"/>
    </row>
    <row r="687">
      <c r="A687" s="11"/>
      <c r="B687" s="11"/>
      <c r="P687" s="12"/>
    </row>
    <row r="688">
      <c r="A688" s="11"/>
      <c r="B688" s="11"/>
      <c r="P688" s="12"/>
    </row>
    <row r="689">
      <c r="A689" s="11"/>
      <c r="B689" s="11"/>
      <c r="P689" s="12"/>
    </row>
    <row r="690">
      <c r="A690" s="11"/>
      <c r="B690" s="11"/>
      <c r="P690" s="12"/>
    </row>
    <row r="691">
      <c r="A691" s="11"/>
      <c r="B691" s="11"/>
      <c r="P691" s="12"/>
    </row>
    <row r="692">
      <c r="A692" s="11"/>
      <c r="B692" s="11"/>
      <c r="P692" s="12"/>
    </row>
    <row r="693">
      <c r="A693" s="11"/>
      <c r="B693" s="11"/>
      <c r="P693" s="12"/>
    </row>
    <row r="694">
      <c r="A694" s="11"/>
      <c r="B694" s="11"/>
      <c r="P694" s="12"/>
    </row>
    <row r="695">
      <c r="A695" s="11"/>
      <c r="B695" s="11"/>
      <c r="P695" s="12"/>
    </row>
    <row r="696">
      <c r="A696" s="11"/>
      <c r="B696" s="11"/>
      <c r="P696" s="12"/>
    </row>
    <row r="697">
      <c r="A697" s="11"/>
      <c r="B697" s="11"/>
      <c r="P697" s="12"/>
    </row>
    <row r="698">
      <c r="A698" s="11"/>
      <c r="B698" s="11"/>
      <c r="P698" s="12"/>
    </row>
    <row r="699">
      <c r="A699" s="11"/>
      <c r="B699" s="11"/>
      <c r="P699" s="12"/>
    </row>
    <row r="700">
      <c r="A700" s="11"/>
      <c r="B700" s="11"/>
      <c r="P700" s="12"/>
    </row>
    <row r="701">
      <c r="A701" s="11"/>
      <c r="B701" s="11"/>
      <c r="P701" s="12"/>
    </row>
    <row r="702">
      <c r="A702" s="11"/>
      <c r="B702" s="11"/>
      <c r="P702" s="12"/>
    </row>
    <row r="703">
      <c r="A703" s="11"/>
      <c r="B703" s="11"/>
      <c r="P703" s="12"/>
    </row>
    <row r="704">
      <c r="A704" s="11"/>
      <c r="B704" s="11"/>
      <c r="P704" s="12"/>
    </row>
    <row r="705">
      <c r="A705" s="11"/>
      <c r="B705" s="11"/>
      <c r="P705" s="12"/>
    </row>
    <row r="706">
      <c r="A706" s="11"/>
      <c r="B706" s="11"/>
      <c r="P706" s="12"/>
    </row>
    <row r="707">
      <c r="A707" s="11"/>
      <c r="B707" s="11"/>
      <c r="P707" s="12"/>
    </row>
    <row r="708">
      <c r="A708" s="11"/>
      <c r="B708" s="11"/>
      <c r="P708" s="12"/>
    </row>
    <row r="709">
      <c r="A709" s="11"/>
      <c r="B709" s="11"/>
      <c r="P709" s="12"/>
    </row>
    <row r="710">
      <c r="A710" s="11"/>
      <c r="B710" s="11"/>
      <c r="P710" s="12"/>
    </row>
    <row r="711">
      <c r="A711" s="11"/>
      <c r="B711" s="11"/>
      <c r="P711" s="12"/>
    </row>
    <row r="712">
      <c r="A712" s="11"/>
      <c r="B712" s="11"/>
      <c r="P712" s="12"/>
    </row>
    <row r="713">
      <c r="A713" s="11"/>
      <c r="B713" s="11"/>
      <c r="P713" s="12"/>
    </row>
    <row r="714">
      <c r="A714" s="11"/>
      <c r="B714" s="11"/>
      <c r="P714" s="12"/>
    </row>
    <row r="715">
      <c r="A715" s="11"/>
      <c r="B715" s="11"/>
      <c r="P715" s="12"/>
    </row>
    <row r="716">
      <c r="A716" s="11"/>
      <c r="B716" s="11"/>
      <c r="P716" s="12"/>
    </row>
    <row r="717">
      <c r="A717" s="11"/>
      <c r="B717" s="11"/>
      <c r="P717" s="12"/>
    </row>
    <row r="718">
      <c r="A718" s="11"/>
      <c r="B718" s="11"/>
      <c r="P718" s="12"/>
    </row>
    <row r="719">
      <c r="A719" s="11"/>
      <c r="B719" s="11"/>
      <c r="P719" s="12"/>
    </row>
    <row r="720">
      <c r="A720" s="11"/>
      <c r="B720" s="11"/>
      <c r="P720" s="12"/>
    </row>
    <row r="721">
      <c r="A721" s="11"/>
      <c r="B721" s="11"/>
      <c r="P721" s="12"/>
    </row>
    <row r="722">
      <c r="A722" s="11"/>
      <c r="B722" s="11"/>
      <c r="P722" s="12"/>
    </row>
    <row r="723">
      <c r="A723" s="11"/>
      <c r="B723" s="11"/>
      <c r="P723" s="12"/>
    </row>
    <row r="724">
      <c r="A724" s="11"/>
      <c r="B724" s="11"/>
      <c r="P724" s="12"/>
    </row>
    <row r="725">
      <c r="A725" s="11"/>
      <c r="B725" s="11"/>
      <c r="P725" s="12"/>
    </row>
    <row r="726">
      <c r="A726" s="11"/>
      <c r="B726" s="11"/>
      <c r="P726" s="12"/>
    </row>
    <row r="727">
      <c r="A727" s="11"/>
      <c r="B727" s="11"/>
      <c r="P727" s="12"/>
    </row>
    <row r="728">
      <c r="A728" s="11"/>
      <c r="B728" s="11"/>
      <c r="P728" s="12"/>
    </row>
    <row r="729">
      <c r="A729" s="11"/>
      <c r="B729" s="11"/>
      <c r="P729" s="12"/>
    </row>
    <row r="730">
      <c r="A730" s="11"/>
      <c r="B730" s="11"/>
      <c r="P730" s="12"/>
    </row>
    <row r="731">
      <c r="A731" s="11"/>
      <c r="B731" s="11"/>
      <c r="P731" s="12"/>
    </row>
    <row r="732">
      <c r="A732" s="11"/>
      <c r="B732" s="11"/>
      <c r="P732" s="12"/>
    </row>
    <row r="733">
      <c r="A733" s="11"/>
      <c r="B733" s="11"/>
      <c r="P733" s="12"/>
    </row>
    <row r="734">
      <c r="A734" s="11"/>
      <c r="B734" s="11"/>
      <c r="P734" s="12"/>
    </row>
    <row r="735">
      <c r="A735" s="11"/>
      <c r="B735" s="11"/>
      <c r="P735" s="12"/>
    </row>
    <row r="736">
      <c r="A736" s="11"/>
      <c r="B736" s="11"/>
      <c r="P736" s="12"/>
    </row>
    <row r="737">
      <c r="A737" s="11"/>
      <c r="B737" s="11"/>
      <c r="P737" s="12"/>
    </row>
    <row r="738">
      <c r="A738" s="11"/>
      <c r="B738" s="11"/>
      <c r="P738" s="12"/>
    </row>
    <row r="739">
      <c r="A739" s="11"/>
      <c r="B739" s="11"/>
      <c r="P739" s="12"/>
    </row>
    <row r="740">
      <c r="A740" s="11"/>
      <c r="B740" s="11"/>
      <c r="P740" s="12"/>
    </row>
    <row r="741">
      <c r="A741" s="11"/>
      <c r="B741" s="11"/>
      <c r="P741" s="12"/>
    </row>
    <row r="742">
      <c r="A742" s="11"/>
      <c r="B742" s="11"/>
      <c r="P742" s="12"/>
    </row>
    <row r="743">
      <c r="A743" s="11"/>
      <c r="B743" s="11"/>
      <c r="P743" s="12"/>
    </row>
    <row r="744">
      <c r="A744" s="11"/>
      <c r="B744" s="11"/>
      <c r="P744" s="12"/>
    </row>
    <row r="745">
      <c r="A745" s="11"/>
      <c r="B745" s="11"/>
      <c r="P745" s="12"/>
    </row>
    <row r="746">
      <c r="A746" s="11"/>
      <c r="B746" s="11"/>
      <c r="P746" s="12"/>
    </row>
    <row r="747">
      <c r="A747" s="11"/>
      <c r="B747" s="11"/>
      <c r="P747" s="12"/>
    </row>
    <row r="748">
      <c r="A748" s="11"/>
      <c r="B748" s="11"/>
      <c r="P748" s="12"/>
    </row>
    <row r="749">
      <c r="A749" s="11"/>
      <c r="B749" s="11"/>
      <c r="P749" s="12"/>
    </row>
    <row r="750">
      <c r="A750" s="11"/>
      <c r="B750" s="11"/>
      <c r="P750" s="12"/>
    </row>
    <row r="751">
      <c r="A751" s="11"/>
      <c r="B751" s="11"/>
      <c r="P751" s="12"/>
    </row>
    <row r="752">
      <c r="A752" s="11"/>
      <c r="B752" s="11"/>
      <c r="P752" s="12"/>
    </row>
    <row r="753">
      <c r="A753" s="11"/>
      <c r="B753" s="11"/>
      <c r="P753" s="12"/>
    </row>
    <row r="754">
      <c r="A754" s="11"/>
      <c r="B754" s="11"/>
      <c r="P754" s="12"/>
    </row>
    <row r="755">
      <c r="A755" s="11"/>
      <c r="B755" s="11"/>
      <c r="P755" s="12"/>
    </row>
    <row r="756">
      <c r="A756" s="11"/>
      <c r="B756" s="11"/>
      <c r="P756" s="12"/>
    </row>
    <row r="757">
      <c r="A757" s="11"/>
      <c r="B757" s="11"/>
      <c r="P757" s="12"/>
    </row>
    <row r="758">
      <c r="A758" s="11"/>
      <c r="B758" s="11"/>
      <c r="P758" s="12"/>
    </row>
    <row r="759">
      <c r="A759" s="11"/>
      <c r="B759" s="11"/>
      <c r="P759" s="12"/>
    </row>
    <row r="760">
      <c r="A760" s="11"/>
      <c r="B760" s="11"/>
      <c r="P760" s="12"/>
    </row>
    <row r="761">
      <c r="A761" s="11"/>
      <c r="B761" s="11"/>
      <c r="P761" s="12"/>
    </row>
    <row r="762">
      <c r="A762" s="11"/>
      <c r="B762" s="11"/>
      <c r="P762" s="12"/>
    </row>
    <row r="763">
      <c r="A763" s="11"/>
      <c r="B763" s="11"/>
      <c r="P763" s="12"/>
    </row>
    <row r="764">
      <c r="A764" s="11"/>
      <c r="B764" s="11"/>
      <c r="P764" s="12"/>
    </row>
    <row r="765">
      <c r="A765" s="11"/>
      <c r="B765" s="11"/>
      <c r="P765" s="12"/>
    </row>
    <row r="766">
      <c r="A766" s="11"/>
      <c r="B766" s="11"/>
      <c r="P766" s="12"/>
    </row>
    <row r="767">
      <c r="A767" s="11"/>
      <c r="B767" s="11"/>
      <c r="P767" s="12"/>
    </row>
    <row r="768">
      <c r="A768" s="11"/>
      <c r="B768" s="11"/>
      <c r="P768" s="12"/>
    </row>
    <row r="769">
      <c r="A769" s="11"/>
      <c r="B769" s="11"/>
      <c r="P769" s="12"/>
    </row>
    <row r="770">
      <c r="A770" s="11"/>
      <c r="B770" s="11"/>
      <c r="P770" s="12"/>
    </row>
    <row r="771">
      <c r="A771" s="11"/>
      <c r="B771" s="11"/>
      <c r="P771" s="12"/>
    </row>
    <row r="772">
      <c r="A772" s="11"/>
      <c r="B772" s="11"/>
      <c r="P772" s="12"/>
    </row>
    <row r="773">
      <c r="A773" s="11"/>
      <c r="B773" s="11"/>
      <c r="P773" s="12"/>
    </row>
    <row r="774">
      <c r="A774" s="11"/>
      <c r="B774" s="11"/>
      <c r="P774" s="12"/>
    </row>
    <row r="775">
      <c r="A775" s="11"/>
      <c r="B775" s="11"/>
      <c r="P775" s="12"/>
    </row>
    <row r="776">
      <c r="A776" s="11"/>
      <c r="B776" s="11"/>
      <c r="P776" s="12"/>
    </row>
    <row r="777">
      <c r="A777" s="11"/>
      <c r="B777" s="11"/>
      <c r="P777" s="12"/>
    </row>
    <row r="778">
      <c r="A778" s="11"/>
      <c r="B778" s="11"/>
      <c r="P778" s="12"/>
    </row>
    <row r="779">
      <c r="A779" s="11"/>
      <c r="B779" s="11"/>
      <c r="P779" s="12"/>
    </row>
    <row r="780">
      <c r="A780" s="11"/>
      <c r="B780" s="11"/>
      <c r="P780" s="12"/>
    </row>
    <row r="781">
      <c r="A781" s="11"/>
      <c r="B781" s="11"/>
      <c r="P781" s="12"/>
    </row>
    <row r="782">
      <c r="A782" s="11"/>
      <c r="B782" s="11"/>
      <c r="P782" s="12"/>
    </row>
    <row r="783">
      <c r="A783" s="11"/>
      <c r="B783" s="11"/>
      <c r="P783" s="12"/>
    </row>
    <row r="784">
      <c r="A784" s="11"/>
      <c r="B784" s="11"/>
      <c r="P784" s="12"/>
    </row>
    <row r="785">
      <c r="A785" s="11"/>
      <c r="B785" s="11"/>
      <c r="P785" s="12"/>
    </row>
    <row r="786">
      <c r="A786" s="11"/>
      <c r="B786" s="11"/>
      <c r="P786" s="12"/>
    </row>
    <row r="787">
      <c r="A787" s="11"/>
      <c r="B787" s="11"/>
      <c r="P787" s="12"/>
    </row>
    <row r="788">
      <c r="A788" s="11"/>
      <c r="B788" s="11"/>
      <c r="P788" s="12"/>
    </row>
    <row r="789">
      <c r="A789" s="11"/>
      <c r="B789" s="11"/>
      <c r="P789" s="12"/>
    </row>
    <row r="790">
      <c r="A790" s="11"/>
      <c r="B790" s="11"/>
      <c r="P790" s="12"/>
    </row>
    <row r="791">
      <c r="A791" s="11"/>
      <c r="B791" s="11"/>
      <c r="P791" s="12"/>
    </row>
    <row r="792">
      <c r="A792" s="11"/>
      <c r="B792" s="11"/>
      <c r="P792" s="12"/>
    </row>
    <row r="793">
      <c r="A793" s="11"/>
      <c r="B793" s="11"/>
      <c r="P793" s="12"/>
    </row>
    <row r="794">
      <c r="A794" s="11"/>
      <c r="B794" s="11"/>
      <c r="P794" s="12"/>
    </row>
    <row r="795">
      <c r="A795" s="11"/>
      <c r="B795" s="11"/>
      <c r="P795" s="12"/>
    </row>
    <row r="796">
      <c r="A796" s="11"/>
      <c r="B796" s="11"/>
      <c r="P796" s="12"/>
    </row>
    <row r="797">
      <c r="A797" s="11"/>
      <c r="B797" s="11"/>
      <c r="P797" s="12"/>
    </row>
    <row r="798">
      <c r="A798" s="11"/>
      <c r="B798" s="11"/>
      <c r="P798" s="12"/>
    </row>
    <row r="799">
      <c r="A799" s="11"/>
      <c r="B799" s="11"/>
      <c r="P799" s="12"/>
    </row>
    <row r="800">
      <c r="A800" s="11"/>
      <c r="B800" s="11"/>
      <c r="P800" s="12"/>
    </row>
    <row r="801">
      <c r="A801" s="11"/>
      <c r="B801" s="11"/>
      <c r="P801" s="12"/>
    </row>
    <row r="802">
      <c r="A802" s="11"/>
      <c r="B802" s="11"/>
      <c r="P802" s="12"/>
    </row>
    <row r="803">
      <c r="A803" s="11"/>
      <c r="B803" s="11"/>
      <c r="P803" s="12"/>
    </row>
    <row r="804">
      <c r="A804" s="11"/>
      <c r="B804" s="11"/>
      <c r="P804" s="12"/>
    </row>
    <row r="805">
      <c r="A805" s="11"/>
      <c r="B805" s="11"/>
      <c r="P805" s="12"/>
    </row>
    <row r="806">
      <c r="A806" s="11"/>
      <c r="B806" s="11"/>
      <c r="P806" s="12"/>
    </row>
    <row r="807">
      <c r="A807" s="11"/>
      <c r="B807" s="11"/>
      <c r="P807" s="12"/>
    </row>
    <row r="808">
      <c r="A808" s="11"/>
      <c r="B808" s="11"/>
      <c r="P808" s="12"/>
    </row>
    <row r="809">
      <c r="A809" s="11"/>
      <c r="B809" s="11"/>
      <c r="P809" s="12"/>
    </row>
    <row r="810">
      <c r="A810" s="11"/>
      <c r="B810" s="11"/>
      <c r="P810" s="12"/>
    </row>
    <row r="811">
      <c r="A811" s="11"/>
      <c r="B811" s="11"/>
      <c r="P811" s="12"/>
    </row>
    <row r="812">
      <c r="A812" s="11"/>
      <c r="B812" s="11"/>
      <c r="P812" s="12"/>
    </row>
    <row r="813">
      <c r="A813" s="11"/>
      <c r="B813" s="11"/>
      <c r="P813" s="12"/>
    </row>
    <row r="814">
      <c r="A814" s="11"/>
      <c r="B814" s="11"/>
      <c r="P814" s="12"/>
    </row>
    <row r="815">
      <c r="A815" s="11"/>
      <c r="B815" s="11"/>
      <c r="P815" s="12"/>
    </row>
    <row r="816">
      <c r="A816" s="11"/>
      <c r="B816" s="11"/>
      <c r="P816" s="12"/>
    </row>
    <row r="817">
      <c r="A817" s="11"/>
      <c r="B817" s="11"/>
      <c r="P817" s="12"/>
    </row>
    <row r="818">
      <c r="A818" s="11"/>
      <c r="B818" s="11"/>
      <c r="P818" s="12"/>
    </row>
    <row r="819">
      <c r="A819" s="11"/>
      <c r="B819" s="11"/>
      <c r="P819" s="12"/>
    </row>
    <row r="820">
      <c r="A820" s="11"/>
      <c r="B820" s="11"/>
      <c r="P820" s="12"/>
    </row>
    <row r="821">
      <c r="A821" s="11"/>
      <c r="B821" s="11"/>
      <c r="P821" s="12"/>
    </row>
    <row r="822">
      <c r="A822" s="11"/>
      <c r="B822" s="11"/>
      <c r="P822" s="12"/>
    </row>
    <row r="823">
      <c r="A823" s="11"/>
      <c r="B823" s="11"/>
      <c r="P823" s="12"/>
    </row>
    <row r="824">
      <c r="A824" s="11"/>
      <c r="B824" s="11"/>
      <c r="P824" s="12"/>
    </row>
    <row r="825">
      <c r="A825" s="11"/>
      <c r="B825" s="11"/>
      <c r="P825" s="12"/>
    </row>
    <row r="826">
      <c r="A826" s="11"/>
      <c r="B826" s="11"/>
      <c r="P826" s="12"/>
    </row>
    <row r="827">
      <c r="A827" s="11"/>
      <c r="B827" s="11"/>
      <c r="P827" s="12"/>
    </row>
    <row r="828">
      <c r="A828" s="11"/>
      <c r="B828" s="11"/>
      <c r="P828" s="12"/>
    </row>
    <row r="829">
      <c r="A829" s="11"/>
      <c r="B829" s="11"/>
      <c r="P829" s="12"/>
    </row>
    <row r="830">
      <c r="A830" s="11"/>
      <c r="B830" s="11"/>
      <c r="P830" s="12"/>
    </row>
    <row r="831">
      <c r="A831" s="11"/>
      <c r="B831" s="11"/>
      <c r="P831" s="12"/>
    </row>
    <row r="832">
      <c r="A832" s="11"/>
      <c r="B832" s="11"/>
      <c r="P832" s="12"/>
    </row>
    <row r="833">
      <c r="A833" s="11"/>
      <c r="B833" s="11"/>
      <c r="P833" s="12"/>
    </row>
    <row r="834">
      <c r="A834" s="11"/>
      <c r="B834" s="11"/>
      <c r="P834" s="12"/>
    </row>
    <row r="835">
      <c r="A835" s="11"/>
      <c r="B835" s="11"/>
      <c r="P835" s="12"/>
    </row>
    <row r="836">
      <c r="A836" s="11"/>
      <c r="B836" s="11"/>
      <c r="P836" s="12"/>
    </row>
    <row r="837">
      <c r="A837" s="11"/>
      <c r="B837" s="11"/>
      <c r="P837" s="12"/>
    </row>
    <row r="838">
      <c r="A838" s="11"/>
      <c r="B838" s="11"/>
      <c r="P838" s="12"/>
    </row>
    <row r="839">
      <c r="A839" s="11"/>
      <c r="B839" s="11"/>
      <c r="P839" s="12"/>
    </row>
    <row r="840">
      <c r="A840" s="11"/>
      <c r="B840" s="11"/>
      <c r="P840" s="12"/>
    </row>
    <row r="841">
      <c r="A841" s="11"/>
      <c r="B841" s="11"/>
      <c r="P841" s="12"/>
    </row>
    <row r="842">
      <c r="A842" s="11"/>
      <c r="B842" s="11"/>
      <c r="P842" s="12"/>
    </row>
    <row r="843">
      <c r="A843" s="11"/>
      <c r="B843" s="11"/>
      <c r="P843" s="12"/>
    </row>
    <row r="844">
      <c r="A844" s="11"/>
      <c r="B844" s="11"/>
      <c r="P844" s="12"/>
    </row>
    <row r="845">
      <c r="A845" s="11"/>
      <c r="B845" s="11"/>
      <c r="P845" s="12"/>
    </row>
    <row r="846">
      <c r="A846" s="11"/>
      <c r="B846" s="11"/>
      <c r="P846" s="12"/>
    </row>
    <row r="847">
      <c r="A847" s="11"/>
      <c r="B847" s="11"/>
      <c r="P847" s="12"/>
    </row>
    <row r="848">
      <c r="A848" s="11"/>
      <c r="B848" s="11"/>
      <c r="P848" s="12"/>
    </row>
    <row r="849">
      <c r="A849" s="11"/>
      <c r="B849" s="11"/>
      <c r="P849" s="12"/>
    </row>
    <row r="850">
      <c r="A850" s="11"/>
      <c r="B850" s="11"/>
      <c r="P850" s="12"/>
    </row>
    <row r="851">
      <c r="A851" s="11"/>
      <c r="B851" s="11"/>
      <c r="P851" s="12"/>
    </row>
    <row r="852">
      <c r="A852" s="11"/>
      <c r="B852" s="11"/>
      <c r="P852" s="12"/>
    </row>
    <row r="853">
      <c r="A853" s="11"/>
      <c r="B853" s="11"/>
      <c r="P853" s="12"/>
    </row>
    <row r="854">
      <c r="A854" s="11"/>
      <c r="B854" s="11"/>
      <c r="P854" s="12"/>
    </row>
    <row r="855">
      <c r="A855" s="11"/>
      <c r="B855" s="11"/>
      <c r="P855" s="12"/>
    </row>
    <row r="856">
      <c r="A856" s="11"/>
      <c r="B856" s="11"/>
      <c r="P856" s="12"/>
    </row>
    <row r="857">
      <c r="A857" s="11"/>
      <c r="B857" s="11"/>
      <c r="P857" s="12"/>
    </row>
    <row r="858">
      <c r="A858" s="11"/>
      <c r="B858" s="11"/>
      <c r="P858" s="12"/>
    </row>
    <row r="859">
      <c r="A859" s="11"/>
      <c r="B859" s="11"/>
      <c r="P859" s="12"/>
    </row>
    <row r="860">
      <c r="A860" s="11"/>
      <c r="B860" s="11"/>
      <c r="P860" s="12"/>
    </row>
    <row r="861">
      <c r="A861" s="11"/>
      <c r="B861" s="11"/>
      <c r="P861" s="12"/>
    </row>
    <row r="862">
      <c r="A862" s="11"/>
      <c r="B862" s="11"/>
      <c r="P862" s="12"/>
    </row>
    <row r="863">
      <c r="A863" s="11"/>
      <c r="B863" s="11"/>
      <c r="P863" s="12"/>
    </row>
    <row r="864">
      <c r="A864" s="11"/>
      <c r="B864" s="11"/>
      <c r="P864" s="12"/>
    </row>
    <row r="865">
      <c r="A865" s="11"/>
      <c r="B865" s="11"/>
      <c r="P865" s="12"/>
    </row>
    <row r="866">
      <c r="A866" s="11"/>
      <c r="B866" s="11"/>
      <c r="P866" s="12"/>
    </row>
    <row r="867">
      <c r="A867" s="11"/>
      <c r="B867" s="11"/>
      <c r="P867" s="12"/>
    </row>
    <row r="868">
      <c r="A868" s="11"/>
      <c r="B868" s="11"/>
      <c r="P868" s="12"/>
    </row>
    <row r="869">
      <c r="A869" s="11"/>
      <c r="B869" s="11"/>
      <c r="P869" s="12"/>
    </row>
    <row r="870">
      <c r="A870" s="11"/>
      <c r="B870" s="11"/>
      <c r="P870" s="12"/>
    </row>
    <row r="871">
      <c r="A871" s="11"/>
      <c r="B871" s="11"/>
      <c r="P871" s="12"/>
    </row>
    <row r="872">
      <c r="A872" s="11"/>
      <c r="B872" s="11"/>
      <c r="P872" s="12"/>
    </row>
    <row r="873">
      <c r="A873" s="11"/>
      <c r="B873" s="11"/>
      <c r="P873" s="12"/>
    </row>
    <row r="874">
      <c r="A874" s="11"/>
      <c r="B874" s="11"/>
      <c r="P874" s="12"/>
    </row>
    <row r="875">
      <c r="A875" s="11"/>
      <c r="B875" s="11"/>
      <c r="P875" s="12"/>
    </row>
    <row r="876">
      <c r="A876" s="11"/>
      <c r="B876" s="11"/>
      <c r="P876" s="12"/>
    </row>
    <row r="877">
      <c r="A877" s="11"/>
      <c r="B877" s="11"/>
      <c r="P877" s="12"/>
    </row>
    <row r="878">
      <c r="A878" s="11"/>
      <c r="B878" s="11"/>
      <c r="P878" s="12"/>
    </row>
    <row r="879">
      <c r="A879" s="11"/>
      <c r="B879" s="11"/>
      <c r="P879" s="12"/>
    </row>
    <row r="880">
      <c r="A880" s="11"/>
      <c r="B880" s="11"/>
      <c r="P880" s="12"/>
    </row>
    <row r="881">
      <c r="A881" s="11"/>
      <c r="B881" s="11"/>
      <c r="P881" s="12"/>
    </row>
    <row r="882">
      <c r="A882" s="11"/>
      <c r="B882" s="11"/>
      <c r="P882" s="12"/>
    </row>
    <row r="883">
      <c r="A883" s="11"/>
      <c r="B883" s="11"/>
      <c r="P883" s="12"/>
    </row>
    <row r="884">
      <c r="A884" s="11"/>
      <c r="B884" s="11"/>
      <c r="P884" s="12"/>
    </row>
    <row r="885">
      <c r="A885" s="11"/>
      <c r="B885" s="11"/>
      <c r="P885" s="12"/>
    </row>
    <row r="886">
      <c r="A886" s="11"/>
      <c r="B886" s="11"/>
      <c r="P886" s="12"/>
    </row>
    <row r="887">
      <c r="A887" s="11"/>
      <c r="B887" s="11"/>
      <c r="P887" s="12"/>
    </row>
    <row r="888">
      <c r="A888" s="11"/>
      <c r="B888" s="11"/>
      <c r="P888" s="12"/>
    </row>
    <row r="889">
      <c r="A889" s="11"/>
      <c r="B889" s="11"/>
      <c r="P889" s="12"/>
    </row>
    <row r="890">
      <c r="A890" s="11"/>
      <c r="B890" s="11"/>
      <c r="P890" s="12"/>
    </row>
    <row r="891">
      <c r="A891" s="11"/>
      <c r="B891" s="11"/>
      <c r="P891" s="12"/>
    </row>
    <row r="892">
      <c r="A892" s="11"/>
      <c r="B892" s="11"/>
      <c r="P892" s="12"/>
    </row>
    <row r="893">
      <c r="A893" s="11"/>
      <c r="B893" s="11"/>
      <c r="P893" s="12"/>
    </row>
    <row r="894">
      <c r="A894" s="11"/>
      <c r="B894" s="11"/>
      <c r="P894" s="12"/>
    </row>
    <row r="895">
      <c r="A895" s="11"/>
      <c r="B895" s="11"/>
      <c r="P895" s="12"/>
    </row>
    <row r="896">
      <c r="A896" s="11"/>
      <c r="B896" s="11"/>
      <c r="P896" s="12"/>
    </row>
    <row r="897">
      <c r="A897" s="11"/>
      <c r="B897" s="11"/>
      <c r="P897" s="12"/>
    </row>
    <row r="898">
      <c r="A898" s="11"/>
      <c r="B898" s="11"/>
      <c r="P898" s="12"/>
    </row>
    <row r="899">
      <c r="A899" s="11"/>
      <c r="B899" s="11"/>
      <c r="P899" s="12"/>
    </row>
    <row r="900">
      <c r="A900" s="11"/>
      <c r="B900" s="11"/>
      <c r="P900" s="12"/>
    </row>
    <row r="901">
      <c r="A901" s="11"/>
      <c r="B901" s="11"/>
      <c r="P901" s="12"/>
    </row>
    <row r="902">
      <c r="A902" s="11"/>
      <c r="B902" s="11"/>
      <c r="P902" s="12"/>
    </row>
    <row r="903">
      <c r="A903" s="11"/>
      <c r="B903" s="11"/>
      <c r="P903" s="12"/>
    </row>
    <row r="904">
      <c r="A904" s="11"/>
      <c r="B904" s="11"/>
      <c r="P904" s="12"/>
    </row>
    <row r="905">
      <c r="A905" s="11"/>
      <c r="B905" s="11"/>
      <c r="P905" s="12"/>
    </row>
    <row r="906">
      <c r="A906" s="11"/>
      <c r="B906" s="11"/>
      <c r="P906" s="12"/>
    </row>
    <row r="907">
      <c r="A907" s="11"/>
      <c r="B907" s="11"/>
      <c r="P907" s="12"/>
    </row>
    <row r="908">
      <c r="A908" s="11"/>
      <c r="B908" s="11"/>
      <c r="P908" s="12"/>
    </row>
    <row r="909">
      <c r="A909" s="11"/>
      <c r="B909" s="11"/>
      <c r="P909" s="12"/>
    </row>
    <row r="910">
      <c r="A910" s="11"/>
      <c r="B910" s="11"/>
      <c r="P910" s="12"/>
    </row>
    <row r="911">
      <c r="A911" s="11"/>
      <c r="B911" s="11"/>
      <c r="P911" s="12"/>
    </row>
    <row r="912">
      <c r="A912" s="11"/>
      <c r="B912" s="11"/>
      <c r="P912" s="12"/>
    </row>
    <row r="913">
      <c r="A913" s="11"/>
      <c r="B913" s="11"/>
      <c r="P913" s="12"/>
    </row>
    <row r="914">
      <c r="A914" s="11"/>
      <c r="B914" s="11"/>
      <c r="P914" s="12"/>
    </row>
    <row r="915">
      <c r="A915" s="11"/>
      <c r="B915" s="11"/>
      <c r="P915" s="12"/>
    </row>
    <row r="916">
      <c r="A916" s="11"/>
      <c r="B916" s="11"/>
      <c r="P916" s="12"/>
    </row>
    <row r="917">
      <c r="A917" s="11"/>
      <c r="B917" s="11"/>
      <c r="P917" s="12"/>
    </row>
    <row r="918">
      <c r="A918" s="11"/>
      <c r="B918" s="11"/>
      <c r="P918" s="12"/>
    </row>
    <row r="919">
      <c r="A919" s="11"/>
      <c r="B919" s="11"/>
      <c r="P919" s="12"/>
    </row>
    <row r="920">
      <c r="A920" s="11"/>
      <c r="B920" s="11"/>
      <c r="P920" s="12"/>
    </row>
    <row r="921">
      <c r="A921" s="11"/>
      <c r="B921" s="11"/>
      <c r="P921" s="12"/>
    </row>
    <row r="922">
      <c r="A922" s="11"/>
      <c r="B922" s="11"/>
      <c r="P922" s="12"/>
    </row>
    <row r="923">
      <c r="A923" s="11"/>
      <c r="B923" s="11"/>
      <c r="P923" s="12"/>
    </row>
    <row r="924">
      <c r="A924" s="11"/>
      <c r="B924" s="11"/>
      <c r="P924" s="12"/>
    </row>
    <row r="925">
      <c r="A925" s="11"/>
      <c r="B925" s="11"/>
      <c r="P925" s="12"/>
    </row>
    <row r="926">
      <c r="A926" s="11"/>
      <c r="B926" s="11"/>
      <c r="P926" s="12"/>
    </row>
    <row r="927">
      <c r="A927" s="11"/>
      <c r="B927" s="11"/>
      <c r="P927" s="12"/>
    </row>
    <row r="928">
      <c r="A928" s="11"/>
      <c r="B928" s="11"/>
      <c r="P928" s="12"/>
    </row>
    <row r="929">
      <c r="A929" s="11"/>
      <c r="B929" s="11"/>
      <c r="P929" s="12"/>
    </row>
    <row r="930">
      <c r="A930" s="11"/>
      <c r="B930" s="11"/>
      <c r="P930" s="12"/>
    </row>
    <row r="931">
      <c r="A931" s="11"/>
      <c r="B931" s="11"/>
      <c r="P931" s="12"/>
    </row>
    <row r="932">
      <c r="A932" s="11"/>
      <c r="B932" s="11"/>
      <c r="P932" s="12"/>
    </row>
    <row r="933">
      <c r="A933" s="11"/>
      <c r="B933" s="11"/>
      <c r="P933" s="12"/>
    </row>
    <row r="934">
      <c r="A934" s="11"/>
      <c r="B934" s="11"/>
      <c r="P934" s="12"/>
    </row>
    <row r="935">
      <c r="A935" s="11"/>
      <c r="B935" s="11"/>
      <c r="P935" s="12"/>
    </row>
    <row r="936">
      <c r="A936" s="11"/>
      <c r="B936" s="11"/>
      <c r="P936" s="12"/>
    </row>
    <row r="937">
      <c r="A937" s="11"/>
      <c r="B937" s="11"/>
      <c r="P937" s="12"/>
    </row>
    <row r="938">
      <c r="A938" s="11"/>
      <c r="B938" s="11"/>
      <c r="P938" s="12"/>
    </row>
    <row r="939">
      <c r="A939" s="11"/>
      <c r="B939" s="11"/>
      <c r="P939" s="12"/>
    </row>
    <row r="940">
      <c r="A940" s="11"/>
      <c r="B940" s="11"/>
      <c r="P940" s="12"/>
    </row>
    <row r="941">
      <c r="A941" s="11"/>
      <c r="B941" s="11"/>
      <c r="P941" s="12"/>
    </row>
    <row r="942">
      <c r="A942" s="11"/>
      <c r="B942" s="11"/>
      <c r="P942" s="12"/>
    </row>
    <row r="943">
      <c r="A943" s="11"/>
      <c r="B943" s="11"/>
      <c r="P943" s="12"/>
    </row>
    <row r="944">
      <c r="A944" s="11"/>
      <c r="B944" s="11"/>
      <c r="P944" s="12"/>
    </row>
    <row r="945">
      <c r="A945" s="11"/>
      <c r="B945" s="11"/>
      <c r="P945" s="12"/>
    </row>
    <row r="946">
      <c r="A946" s="11"/>
      <c r="B946" s="11"/>
      <c r="P946" s="12"/>
    </row>
    <row r="947">
      <c r="A947" s="11"/>
      <c r="B947" s="11"/>
      <c r="P947" s="12"/>
    </row>
    <row r="948">
      <c r="A948" s="11"/>
      <c r="B948" s="11"/>
      <c r="P948" s="12"/>
    </row>
    <row r="949">
      <c r="A949" s="11"/>
      <c r="B949" s="11"/>
      <c r="P949" s="12"/>
    </row>
    <row r="950">
      <c r="A950" s="11"/>
      <c r="B950" s="11"/>
      <c r="P950" s="12"/>
    </row>
    <row r="951">
      <c r="A951" s="11"/>
      <c r="B951" s="11"/>
      <c r="P951" s="12"/>
    </row>
    <row r="952">
      <c r="A952" s="11"/>
      <c r="B952" s="11"/>
      <c r="P952" s="12"/>
    </row>
    <row r="953">
      <c r="A953" s="11"/>
      <c r="B953" s="11"/>
      <c r="P953" s="12"/>
    </row>
    <row r="954">
      <c r="A954" s="11"/>
      <c r="B954" s="11"/>
      <c r="P954" s="12"/>
    </row>
    <row r="955">
      <c r="A955" s="11"/>
      <c r="B955" s="11"/>
      <c r="P955" s="12"/>
    </row>
    <row r="956">
      <c r="A956" s="11"/>
      <c r="B956" s="11"/>
      <c r="P956" s="12"/>
    </row>
    <row r="957">
      <c r="A957" s="11"/>
      <c r="B957" s="11"/>
      <c r="P957" s="12"/>
    </row>
    <row r="958">
      <c r="A958" s="11"/>
      <c r="B958" s="11"/>
      <c r="P958" s="12"/>
    </row>
    <row r="959">
      <c r="A959" s="11"/>
      <c r="B959" s="11"/>
      <c r="P959" s="12"/>
    </row>
    <row r="960">
      <c r="A960" s="11"/>
      <c r="B960" s="11"/>
      <c r="P960" s="12"/>
    </row>
    <row r="961">
      <c r="A961" s="11"/>
      <c r="B961" s="11"/>
      <c r="P961" s="12"/>
    </row>
    <row r="962">
      <c r="A962" s="11"/>
      <c r="B962" s="11"/>
      <c r="P962" s="12"/>
    </row>
    <row r="963">
      <c r="A963" s="11"/>
      <c r="B963" s="11"/>
      <c r="P963" s="12"/>
    </row>
    <row r="964">
      <c r="A964" s="11"/>
      <c r="B964" s="11"/>
      <c r="P964" s="12"/>
    </row>
    <row r="965">
      <c r="A965" s="11"/>
      <c r="B965" s="11"/>
      <c r="P965" s="12"/>
    </row>
    <row r="966">
      <c r="A966" s="11"/>
      <c r="B966" s="11"/>
      <c r="P966" s="12"/>
    </row>
    <row r="967">
      <c r="A967" s="11"/>
      <c r="B967" s="11"/>
      <c r="P967" s="12"/>
    </row>
    <row r="968">
      <c r="A968" s="11"/>
      <c r="B968" s="11"/>
      <c r="P968" s="12"/>
    </row>
    <row r="969">
      <c r="A969" s="11"/>
      <c r="B969" s="11"/>
      <c r="P969" s="12"/>
    </row>
    <row r="970">
      <c r="A970" s="11"/>
      <c r="B970" s="11"/>
      <c r="P970" s="12"/>
    </row>
    <row r="971">
      <c r="A971" s="11"/>
      <c r="B971" s="11"/>
      <c r="P971" s="12"/>
    </row>
    <row r="972">
      <c r="A972" s="11"/>
      <c r="B972" s="11"/>
      <c r="P972" s="12"/>
    </row>
    <row r="973">
      <c r="A973" s="11"/>
      <c r="B973" s="11"/>
      <c r="P973" s="12"/>
    </row>
    <row r="974">
      <c r="A974" s="11"/>
      <c r="B974" s="11"/>
      <c r="P974" s="12"/>
    </row>
    <row r="975">
      <c r="A975" s="11"/>
      <c r="B975" s="11"/>
      <c r="P975" s="12"/>
    </row>
    <row r="976">
      <c r="A976" s="11"/>
      <c r="B976" s="11"/>
      <c r="P976" s="12"/>
    </row>
    <row r="977">
      <c r="A977" s="11"/>
      <c r="B977" s="11"/>
      <c r="P977" s="12"/>
    </row>
    <row r="978">
      <c r="A978" s="11"/>
      <c r="B978" s="11"/>
      <c r="P978" s="12"/>
    </row>
    <row r="979">
      <c r="A979" s="11"/>
      <c r="B979" s="11"/>
      <c r="P979" s="12"/>
    </row>
    <row r="980">
      <c r="A980" s="11"/>
      <c r="B980" s="11"/>
      <c r="P980" s="12"/>
    </row>
    <row r="981">
      <c r="A981" s="11"/>
      <c r="B981" s="11"/>
      <c r="P981" s="12"/>
    </row>
    <row r="982">
      <c r="A982" s="11"/>
      <c r="B982" s="11"/>
      <c r="P982" s="12"/>
    </row>
    <row r="983">
      <c r="A983" s="11"/>
      <c r="B983" s="11"/>
      <c r="P983" s="12"/>
    </row>
    <row r="984">
      <c r="A984" s="11"/>
      <c r="B984" s="11"/>
      <c r="P984" s="12"/>
    </row>
    <row r="985">
      <c r="A985" s="11"/>
      <c r="B985" s="11"/>
      <c r="P985" s="12"/>
    </row>
    <row r="986">
      <c r="A986" s="11"/>
      <c r="B986" s="11"/>
      <c r="P986" s="12"/>
    </row>
    <row r="987">
      <c r="A987" s="11"/>
      <c r="B987" s="11"/>
      <c r="P987" s="12"/>
    </row>
    <row r="988">
      <c r="A988" s="11"/>
      <c r="B988" s="11"/>
      <c r="P988" s="12"/>
    </row>
    <row r="989">
      <c r="A989" s="11"/>
      <c r="B989" s="11"/>
      <c r="P989" s="12"/>
    </row>
    <row r="990">
      <c r="A990" s="11"/>
      <c r="B990" s="11"/>
      <c r="P990" s="12"/>
    </row>
    <row r="991">
      <c r="A991" s="11"/>
      <c r="B991" s="11"/>
      <c r="P991" s="12"/>
    </row>
    <row r="992">
      <c r="A992" s="11"/>
      <c r="B992" s="11"/>
      <c r="P992" s="12"/>
    </row>
    <row r="993">
      <c r="A993" s="11"/>
      <c r="B993" s="11"/>
      <c r="P993" s="12"/>
    </row>
    <row r="994">
      <c r="A994" s="11"/>
      <c r="B994" s="11"/>
      <c r="P994" s="12"/>
    </row>
    <row r="995">
      <c r="A995" s="11"/>
      <c r="B995" s="11"/>
      <c r="P995" s="12"/>
    </row>
    <row r="996">
      <c r="A996" s="11"/>
      <c r="B996" s="11"/>
      <c r="P996" s="12"/>
    </row>
    <row r="997">
      <c r="A997" s="11"/>
      <c r="B997" s="11"/>
      <c r="P997" s="12"/>
    </row>
    <row r="998">
      <c r="A998" s="11"/>
      <c r="B998" s="11"/>
      <c r="P998" s="12"/>
    </row>
    <row r="999">
      <c r="A999" s="11"/>
      <c r="B999" s="11"/>
      <c r="P999" s="12"/>
    </row>
    <row r="1000">
      <c r="A1000" s="11"/>
      <c r="B1000" s="11"/>
      <c r="P1000" s="1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8.0"/>
    <col customWidth="1" min="2" max="2" width="15.25"/>
    <col customWidth="1" min="3" max="3" width="11.38"/>
    <col customWidth="1" min="4" max="4" width="9.88"/>
    <col customWidth="1" min="5" max="5" width="17.25"/>
    <col customWidth="1" min="6" max="6" width="14.25"/>
    <col customWidth="1" min="7" max="8" width="11.75"/>
    <col customWidth="1" min="9" max="9" width="8.38"/>
    <col customWidth="1" min="10" max="10" width="11.88"/>
    <col customWidth="1" min="11" max="11" width="13.13"/>
    <col customWidth="1" min="12" max="12" width="12.75"/>
    <col customWidth="1" min="13" max="13" width="13.0"/>
    <col customWidth="1" min="14" max="14" width="12.88"/>
    <col customWidth="1" min="15" max="16" width="12.13"/>
    <col customWidth="1" min="17" max="17" width="11.5"/>
    <col customWidth="1" min="18" max="18" width="15.0"/>
    <col customWidth="1" min="19" max="19" width="12.38"/>
    <col customWidth="1" min="20" max="20" width="11.25"/>
    <col customWidth="1" min="21" max="21" width="8.38"/>
    <col customWidth="1" min="22" max="22" width="14.25"/>
    <col customWidth="1" min="23" max="23" width="16.13"/>
  </cols>
  <sheetData>
    <row r="1">
      <c r="A1" s="13" t="s">
        <v>0</v>
      </c>
      <c r="B1" s="13" t="s">
        <v>1</v>
      </c>
      <c r="C1" s="14" t="s">
        <v>2</v>
      </c>
      <c r="D1" s="13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3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3" t="s">
        <v>14</v>
      </c>
      <c r="P1" s="13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3" t="s">
        <v>20</v>
      </c>
      <c r="V1" s="14" t="s">
        <v>21</v>
      </c>
      <c r="W1" s="13" t="s">
        <v>80</v>
      </c>
    </row>
    <row r="2">
      <c r="A2" s="15" t="s">
        <v>81</v>
      </c>
      <c r="B2" s="15" t="s">
        <v>34</v>
      </c>
      <c r="C2" s="15">
        <v>5.0</v>
      </c>
      <c r="D2" s="16" t="s">
        <v>41</v>
      </c>
      <c r="E2" s="16">
        <v>14.0</v>
      </c>
      <c r="F2" s="15">
        <v>84.0</v>
      </c>
      <c r="G2" s="15">
        <v>1780.0</v>
      </c>
      <c r="H2" s="17">
        <f>'2021'!$G2/'2021'!$E2</f>
        <v>127.1428571</v>
      </c>
      <c r="I2" s="15">
        <v>21.2</v>
      </c>
      <c r="J2" s="15">
        <v>20.0</v>
      </c>
      <c r="K2" s="15">
        <v>1.0</v>
      </c>
      <c r="L2" s="15">
        <v>5.0</v>
      </c>
      <c r="M2" s="15">
        <v>5.0</v>
      </c>
      <c r="N2" s="15">
        <v>0.0</v>
      </c>
      <c r="O2" s="15">
        <v>1.0</v>
      </c>
      <c r="P2" s="18">
        <f t="shared" ref="P2:P28" si="1">(F2*0.5+G2/10+J2*6+L2/10+N2*6-O2*2)/E2</f>
        <v>24.17857143</v>
      </c>
      <c r="Q2" s="15">
        <v>21.0</v>
      </c>
      <c r="R2" s="15">
        <v>35.0</v>
      </c>
      <c r="S2" s="15">
        <v>33.0</v>
      </c>
      <c r="T2" s="18">
        <v>32.7</v>
      </c>
      <c r="U2" s="17">
        <v>21.175342465753424</v>
      </c>
      <c r="V2" s="15">
        <f>6*12</f>
        <v>72</v>
      </c>
      <c r="W2" s="15">
        <v>19.5</v>
      </c>
    </row>
    <row r="3">
      <c r="A3" s="15" t="s">
        <v>82</v>
      </c>
      <c r="B3" s="15" t="s">
        <v>23</v>
      </c>
      <c r="C3" s="15">
        <v>6.0</v>
      </c>
      <c r="D3" s="16" t="s">
        <v>83</v>
      </c>
      <c r="E3" s="16">
        <v>6.0</v>
      </c>
      <c r="F3" s="15">
        <v>28.0</v>
      </c>
      <c r="G3" s="15">
        <v>591.0</v>
      </c>
      <c r="H3" s="17">
        <f>'2021'!$G3/'2021'!$E3</f>
        <v>98.5</v>
      </c>
      <c r="I3" s="15">
        <v>21.1</v>
      </c>
      <c r="J3" s="15">
        <v>4.0</v>
      </c>
      <c r="K3" s="15">
        <v>3.0</v>
      </c>
      <c r="L3" s="15">
        <v>12.0</v>
      </c>
      <c r="M3" s="15">
        <v>4.0</v>
      </c>
      <c r="N3" s="15">
        <v>0.0</v>
      </c>
      <c r="O3" s="15">
        <v>0.0</v>
      </c>
      <c r="P3" s="18">
        <f t="shared" si="1"/>
        <v>16.38333333</v>
      </c>
      <c r="Q3" s="15">
        <v>19.0</v>
      </c>
      <c r="R3" s="15">
        <v>21.0</v>
      </c>
      <c r="S3" s="15">
        <v>24.0</v>
      </c>
      <c r="T3" s="18">
        <v>14.0</v>
      </c>
      <c r="U3" s="17">
        <v>22.526027397260275</v>
      </c>
      <c r="V3" s="15">
        <f>5*12+10</f>
        <v>70</v>
      </c>
      <c r="W3" s="15">
        <v>21.8</v>
      </c>
    </row>
    <row r="4">
      <c r="A4" s="15" t="s">
        <v>84</v>
      </c>
      <c r="B4" s="15" t="s">
        <v>23</v>
      </c>
      <c r="C4" s="15">
        <v>10.0</v>
      </c>
      <c r="D4" s="16" t="s">
        <v>32</v>
      </c>
      <c r="E4" s="16">
        <v>13.0</v>
      </c>
      <c r="F4" s="15">
        <v>117.0</v>
      </c>
      <c r="G4" s="15">
        <v>1856.0</v>
      </c>
      <c r="H4" s="17">
        <f>'2021'!$G4/'2021'!$E4</f>
        <v>142.7692308</v>
      </c>
      <c r="I4" s="15">
        <v>15.9</v>
      </c>
      <c r="J4" s="15">
        <v>23.0</v>
      </c>
      <c r="K4" s="15">
        <v>4.0</v>
      </c>
      <c r="L4" s="15">
        <v>6.0</v>
      </c>
      <c r="M4" s="15">
        <v>1.5</v>
      </c>
      <c r="N4" s="15">
        <v>1.0</v>
      </c>
      <c r="O4" s="15">
        <v>0.0</v>
      </c>
      <c r="P4" s="18">
        <f t="shared" si="1"/>
        <v>29.9</v>
      </c>
      <c r="Q4" s="15">
        <v>36.0</v>
      </c>
      <c r="R4" s="15">
        <v>55.0</v>
      </c>
      <c r="S4" s="15">
        <v>47.0</v>
      </c>
      <c r="T4" s="18">
        <v>13.3</v>
      </c>
      <c r="U4" s="17">
        <v>22.556164383561644</v>
      </c>
      <c r="V4" s="15">
        <f>6*12+1</f>
        <v>73</v>
      </c>
      <c r="W4" s="15">
        <v>20.8</v>
      </c>
    </row>
    <row r="5">
      <c r="A5" s="15" t="s">
        <v>85</v>
      </c>
      <c r="B5" s="15" t="s">
        <v>54</v>
      </c>
      <c r="C5" s="15">
        <v>20.0</v>
      </c>
      <c r="D5" s="16" t="s">
        <v>86</v>
      </c>
      <c r="E5" s="16">
        <v>11.0</v>
      </c>
      <c r="F5" s="15">
        <v>70.0</v>
      </c>
      <c r="G5" s="15">
        <v>984.0</v>
      </c>
      <c r="H5" s="17">
        <f>'2021'!$G5/'2021'!$E5</f>
        <v>89.45454545</v>
      </c>
      <c r="I5" s="15">
        <v>14.1</v>
      </c>
      <c r="J5" s="15">
        <v>10.0</v>
      </c>
      <c r="K5" s="15">
        <v>19.0</v>
      </c>
      <c r="L5" s="15">
        <v>161.0</v>
      </c>
      <c r="M5" s="15">
        <v>8.5</v>
      </c>
      <c r="N5" s="15">
        <v>1.0</v>
      </c>
      <c r="O5" s="15">
        <v>1.0</v>
      </c>
      <c r="P5" s="18">
        <f t="shared" si="1"/>
        <v>19.40909091</v>
      </c>
      <c r="Q5" s="15">
        <v>24.0</v>
      </c>
      <c r="R5" s="15">
        <v>24.0</v>
      </c>
      <c r="S5" s="15">
        <v>23.0</v>
      </c>
      <c r="T5" s="18">
        <v>24.2</v>
      </c>
      <c r="U5" s="17">
        <v>22.268493150684932</v>
      </c>
      <c r="V5" s="15">
        <f>6*12</f>
        <v>72</v>
      </c>
      <c r="W5" s="15">
        <v>21.6</v>
      </c>
    </row>
    <row r="6">
      <c r="A6" s="15" t="s">
        <v>87</v>
      </c>
      <c r="B6" s="15" t="s">
        <v>75</v>
      </c>
      <c r="C6" s="15">
        <v>27.0</v>
      </c>
      <c r="D6" s="16" t="s">
        <v>63</v>
      </c>
      <c r="E6" s="16">
        <v>13.0</v>
      </c>
      <c r="F6" s="15">
        <v>60.0</v>
      </c>
      <c r="G6" s="15">
        <v>1219.0</v>
      </c>
      <c r="H6" s="17">
        <f>'2021'!$G6/'2021'!$E6</f>
        <v>93.76923077</v>
      </c>
      <c r="I6" s="15">
        <v>20.3</v>
      </c>
      <c r="J6" s="15">
        <v>11.0</v>
      </c>
      <c r="K6" s="15">
        <v>0.0</v>
      </c>
      <c r="L6" s="15">
        <v>0.0</v>
      </c>
      <c r="M6" s="15">
        <v>0.0</v>
      </c>
      <c r="N6" s="15">
        <v>0.0</v>
      </c>
      <c r="O6" s="15">
        <v>0.0</v>
      </c>
      <c r="P6" s="18">
        <f t="shared" si="1"/>
        <v>16.76153846</v>
      </c>
      <c r="Q6" s="15">
        <v>28.0</v>
      </c>
      <c r="R6" s="15">
        <v>35.0</v>
      </c>
      <c r="S6" s="15">
        <v>36.0</v>
      </c>
      <c r="T6" s="18">
        <v>21.7</v>
      </c>
      <c r="U6" s="17">
        <v>21.515068493150686</v>
      </c>
      <c r="V6" s="15">
        <f>6*12+2</f>
        <v>74</v>
      </c>
      <c r="W6" s="15">
        <v>18.8</v>
      </c>
    </row>
    <row r="7">
      <c r="A7" s="15" t="s">
        <v>88</v>
      </c>
      <c r="B7" s="15" t="s">
        <v>89</v>
      </c>
      <c r="C7" s="15">
        <v>34.0</v>
      </c>
      <c r="D7" s="16" t="s">
        <v>58</v>
      </c>
      <c r="E7" s="16">
        <v>8.0</v>
      </c>
      <c r="F7" s="15">
        <v>86.0</v>
      </c>
      <c r="G7" s="15">
        <v>1193.0</v>
      </c>
      <c r="H7" s="17">
        <f>'2021'!$G7/'2021'!$E7</f>
        <v>149.125</v>
      </c>
      <c r="I7" s="15">
        <v>13.9</v>
      </c>
      <c r="J7" s="15">
        <v>8.0</v>
      </c>
      <c r="K7" s="15">
        <v>14.0</v>
      </c>
      <c r="L7" s="15">
        <v>64.0</v>
      </c>
      <c r="M7" s="15">
        <v>4.6</v>
      </c>
      <c r="N7" s="15">
        <v>0.0</v>
      </c>
      <c r="O7" s="15">
        <v>1.0</v>
      </c>
      <c r="P7" s="18">
        <f t="shared" si="1"/>
        <v>26.8375</v>
      </c>
      <c r="Q7" s="15">
        <v>45.0</v>
      </c>
      <c r="R7" s="15">
        <v>33.0</v>
      </c>
      <c r="S7" s="15">
        <v>38.0</v>
      </c>
      <c r="T7" s="18">
        <v>29.7</v>
      </c>
      <c r="U7" s="17">
        <v>21.104109589041094</v>
      </c>
      <c r="V7" s="15">
        <f t="shared" ref="V7:V10" si="2">5*12+9</f>
        <v>69</v>
      </c>
      <c r="W7" s="15">
        <v>19.4</v>
      </c>
    </row>
    <row r="8">
      <c r="A8" s="15" t="s">
        <v>90</v>
      </c>
      <c r="B8" s="15" t="s">
        <v>91</v>
      </c>
      <c r="C8" s="15">
        <v>49.0</v>
      </c>
      <c r="D8" s="16" t="s">
        <v>92</v>
      </c>
      <c r="E8" s="16">
        <v>13.0</v>
      </c>
      <c r="F8" s="15">
        <v>114.0</v>
      </c>
      <c r="G8" s="15">
        <v>1258.0</v>
      </c>
      <c r="H8" s="17">
        <f>'2021'!$G8/'2021'!$E8</f>
        <v>96.76923077</v>
      </c>
      <c r="I8" s="15">
        <v>11.0</v>
      </c>
      <c r="J8" s="15">
        <v>12.0</v>
      </c>
      <c r="K8" s="15">
        <v>21.0</v>
      </c>
      <c r="L8" s="15">
        <v>213.0</v>
      </c>
      <c r="M8" s="15">
        <v>10.1</v>
      </c>
      <c r="N8" s="15">
        <v>2.0</v>
      </c>
      <c r="O8" s="15">
        <v>2.0</v>
      </c>
      <c r="P8" s="18">
        <f t="shared" si="1"/>
        <v>21.85384615</v>
      </c>
      <c r="Q8" s="15">
        <v>34.0</v>
      </c>
      <c r="R8" s="15">
        <v>43.0</v>
      </c>
      <c r="S8" s="15">
        <v>37.0</v>
      </c>
      <c r="T8" s="18">
        <v>21.0</v>
      </c>
      <c r="U8" s="17">
        <v>20.9013698630137</v>
      </c>
      <c r="V8" s="15">
        <f t="shared" si="2"/>
        <v>69</v>
      </c>
      <c r="W8" s="15">
        <v>18.2</v>
      </c>
    </row>
    <row r="9">
      <c r="A9" s="15" t="s">
        <v>93</v>
      </c>
      <c r="B9" s="15" t="s">
        <v>94</v>
      </c>
      <c r="C9" s="15">
        <v>56.0</v>
      </c>
      <c r="D9" s="16" t="s">
        <v>95</v>
      </c>
      <c r="E9" s="16">
        <v>6.0</v>
      </c>
      <c r="F9" s="15">
        <v>33.0</v>
      </c>
      <c r="G9" s="15">
        <v>768.0</v>
      </c>
      <c r="H9" s="17">
        <f>'2021'!$G9/'2021'!$E9</f>
        <v>128</v>
      </c>
      <c r="I9" s="15">
        <v>23.3</v>
      </c>
      <c r="J9" s="15">
        <v>8.0</v>
      </c>
      <c r="K9" s="15">
        <v>2.0</v>
      </c>
      <c r="L9" s="15">
        <v>43.0</v>
      </c>
      <c r="M9" s="15">
        <v>21.5</v>
      </c>
      <c r="N9" s="15">
        <v>0.0</v>
      </c>
      <c r="O9" s="15">
        <v>1.0</v>
      </c>
      <c r="P9" s="18">
        <f t="shared" si="1"/>
        <v>23.93333333</v>
      </c>
      <c r="Q9" s="15">
        <v>33.0</v>
      </c>
      <c r="R9" s="15">
        <v>44.0</v>
      </c>
      <c r="S9" s="15">
        <v>44.0</v>
      </c>
      <c r="T9" s="18">
        <v>14.2</v>
      </c>
      <c r="U9" s="17">
        <v>24.117808219178084</v>
      </c>
      <c r="V9" s="15">
        <f t="shared" si="2"/>
        <v>69</v>
      </c>
      <c r="W9" s="15">
        <v>20.5</v>
      </c>
    </row>
    <row r="10">
      <c r="A10" s="15" t="s">
        <v>96</v>
      </c>
      <c r="B10" s="15" t="s">
        <v>97</v>
      </c>
      <c r="C10" s="15">
        <v>57.0</v>
      </c>
      <c r="D10" s="16" t="s">
        <v>55</v>
      </c>
      <c r="E10" s="16">
        <v>13.0</v>
      </c>
      <c r="F10" s="15">
        <v>69.0</v>
      </c>
      <c r="G10" s="15">
        <v>1272.0</v>
      </c>
      <c r="H10" s="17">
        <f>'2021'!$G10/'2021'!$E10</f>
        <v>97.84615385</v>
      </c>
      <c r="I10" s="15">
        <v>18.4</v>
      </c>
      <c r="J10" s="15">
        <v>12.0</v>
      </c>
      <c r="K10" s="15">
        <v>9.0</v>
      </c>
      <c r="L10" s="15">
        <v>33.0</v>
      </c>
      <c r="M10" s="15">
        <v>3.7</v>
      </c>
      <c r="N10" s="15">
        <v>0.0</v>
      </c>
      <c r="O10" s="15">
        <v>4.0</v>
      </c>
      <c r="P10" s="18">
        <f t="shared" si="1"/>
        <v>17.61538462</v>
      </c>
      <c r="Q10" s="15">
        <v>39.0</v>
      </c>
      <c r="R10" s="15">
        <v>38.0</v>
      </c>
      <c r="S10" s="15">
        <v>39.0</v>
      </c>
      <c r="T10" s="18">
        <v>22.2</v>
      </c>
      <c r="U10" s="17">
        <v>21.575342465753426</v>
      </c>
      <c r="V10" s="15">
        <f t="shared" si="2"/>
        <v>69</v>
      </c>
      <c r="W10" s="15">
        <v>18.9</v>
      </c>
    </row>
    <row r="11">
      <c r="A11" s="15" t="s">
        <v>98</v>
      </c>
      <c r="B11" s="15" t="s">
        <v>34</v>
      </c>
      <c r="C11" s="15">
        <v>59.0</v>
      </c>
      <c r="D11" s="16" t="s">
        <v>99</v>
      </c>
      <c r="E11" s="16">
        <v>7.0</v>
      </c>
      <c r="F11" s="15">
        <v>48.0</v>
      </c>
      <c r="G11" s="15">
        <v>731.0</v>
      </c>
      <c r="H11" s="17">
        <f>'2021'!$G11/'2021'!$E11</f>
        <v>104.4285714</v>
      </c>
      <c r="I11" s="15">
        <v>15.2</v>
      </c>
      <c r="J11" s="15">
        <v>10.0</v>
      </c>
      <c r="K11" s="15">
        <v>0.0</v>
      </c>
      <c r="L11" s="15">
        <v>0.0</v>
      </c>
      <c r="M11" s="15">
        <v>0.0</v>
      </c>
      <c r="N11" s="15">
        <v>0.0</v>
      </c>
      <c r="O11" s="15">
        <v>1.0</v>
      </c>
      <c r="P11" s="18">
        <f t="shared" si="1"/>
        <v>22.15714286</v>
      </c>
      <c r="Q11" s="15">
        <v>28.0</v>
      </c>
      <c r="R11" s="15">
        <v>60.0</v>
      </c>
      <c r="S11" s="15">
        <v>46.0</v>
      </c>
      <c r="T11" s="18">
        <v>28.8</v>
      </c>
      <c r="U11" s="17">
        <v>20.9013698630137</v>
      </c>
      <c r="V11" s="15">
        <f>6*12+3</f>
        <v>75</v>
      </c>
      <c r="W11" s="15">
        <v>19.2</v>
      </c>
    </row>
    <row r="12">
      <c r="A12" s="15" t="s">
        <v>100</v>
      </c>
      <c r="B12" s="15" t="s">
        <v>101</v>
      </c>
      <c r="C12" s="15">
        <v>77.0</v>
      </c>
      <c r="D12" s="16" t="s">
        <v>73</v>
      </c>
      <c r="E12" s="16">
        <v>10.0</v>
      </c>
      <c r="F12" s="15">
        <v>33.0</v>
      </c>
      <c r="G12" s="15">
        <v>475.0</v>
      </c>
      <c r="H12" s="17">
        <f>'2021'!$G12/'2021'!$E12</f>
        <v>47.5</v>
      </c>
      <c r="I12" s="15">
        <v>14.4</v>
      </c>
      <c r="J12" s="15">
        <v>4.0</v>
      </c>
      <c r="K12" s="15">
        <v>0.0</v>
      </c>
      <c r="L12" s="15">
        <v>0.0</v>
      </c>
      <c r="M12" s="15">
        <v>0.0</v>
      </c>
      <c r="N12" s="15">
        <v>0.0</v>
      </c>
      <c r="O12" s="15">
        <v>0.0</v>
      </c>
      <c r="P12" s="18">
        <f t="shared" si="1"/>
        <v>8.8</v>
      </c>
      <c r="Q12" s="15">
        <v>18.0</v>
      </c>
      <c r="R12" s="15">
        <v>29.0</v>
      </c>
      <c r="S12" s="15">
        <v>25.0</v>
      </c>
      <c r="T12" s="18">
        <v>0.0</v>
      </c>
      <c r="U12" s="17">
        <v>21.616438356164384</v>
      </c>
      <c r="V12" s="15">
        <f>6*12+2</f>
        <v>74</v>
      </c>
      <c r="W12" s="15" t="s">
        <v>70</v>
      </c>
    </row>
    <row r="13">
      <c r="A13" s="15" t="s">
        <v>102</v>
      </c>
      <c r="B13" s="15" t="s">
        <v>103</v>
      </c>
      <c r="C13" s="15">
        <v>82.0</v>
      </c>
      <c r="D13" s="16" t="s">
        <v>69</v>
      </c>
      <c r="E13" s="16">
        <v>11.0</v>
      </c>
      <c r="F13" s="15">
        <v>55.0</v>
      </c>
      <c r="G13" s="15">
        <v>1099.0</v>
      </c>
      <c r="H13" s="17">
        <f>'2021'!$G13/'2021'!$E13</f>
        <v>99.90909091</v>
      </c>
      <c r="I13" s="15">
        <v>20.0</v>
      </c>
      <c r="J13" s="15">
        <v>8.0</v>
      </c>
      <c r="K13" s="15">
        <v>0.0</v>
      </c>
      <c r="L13" s="15">
        <v>0.0</v>
      </c>
      <c r="M13" s="15">
        <v>0.0</v>
      </c>
      <c r="N13" s="15">
        <v>0.0</v>
      </c>
      <c r="O13" s="15">
        <v>0.0</v>
      </c>
      <c r="P13" s="18">
        <f t="shared" si="1"/>
        <v>16.85454545</v>
      </c>
      <c r="Q13" s="15">
        <v>25.0</v>
      </c>
      <c r="R13" s="15">
        <v>28.0</v>
      </c>
      <c r="S13" s="15">
        <v>30.0</v>
      </c>
      <c r="T13" s="18">
        <v>11.4</v>
      </c>
      <c r="U13" s="17">
        <v>21.506849315068493</v>
      </c>
      <c r="V13" s="15">
        <f>6*12+1</f>
        <v>73</v>
      </c>
      <c r="W13" s="15">
        <v>19.8</v>
      </c>
    </row>
    <row r="14">
      <c r="A14" s="15" t="s">
        <v>104</v>
      </c>
      <c r="B14" s="15" t="s">
        <v>40</v>
      </c>
      <c r="C14" s="15">
        <v>85.0</v>
      </c>
      <c r="D14" s="16" t="s">
        <v>105</v>
      </c>
      <c r="E14" s="16">
        <v>12.0</v>
      </c>
      <c r="F14" s="15">
        <v>77.0</v>
      </c>
      <c r="G14" s="15">
        <v>1020.0</v>
      </c>
      <c r="H14" s="17">
        <f>'2021'!$G14/'2021'!$E14</f>
        <v>85</v>
      </c>
      <c r="I14" s="15">
        <v>13.2</v>
      </c>
      <c r="J14" s="15">
        <v>7.0</v>
      </c>
      <c r="K14" s="15">
        <v>0.0</v>
      </c>
      <c r="L14" s="15">
        <v>0.0</v>
      </c>
      <c r="M14" s="15">
        <v>0.0</v>
      </c>
      <c r="N14" s="15">
        <v>0.0</v>
      </c>
      <c r="O14" s="15">
        <v>2.0</v>
      </c>
      <c r="P14" s="18">
        <f t="shared" si="1"/>
        <v>14.875</v>
      </c>
      <c r="Q14" s="15">
        <v>24.0</v>
      </c>
      <c r="R14" s="15">
        <v>23.0</v>
      </c>
      <c r="S14" s="15">
        <v>23.0</v>
      </c>
      <c r="T14" s="18">
        <v>18.0</v>
      </c>
      <c r="U14" s="17">
        <v>21.613698630136987</v>
      </c>
      <c r="V14" s="15">
        <f>5*12+10</f>
        <v>70</v>
      </c>
      <c r="W14" s="15">
        <v>21.0</v>
      </c>
    </row>
    <row r="15">
      <c r="A15" s="15" t="s">
        <v>106</v>
      </c>
      <c r="B15" s="15" t="s">
        <v>107</v>
      </c>
      <c r="C15" s="15">
        <v>89.0</v>
      </c>
      <c r="D15" s="16" t="s">
        <v>108</v>
      </c>
      <c r="E15" s="16">
        <v>12.0</v>
      </c>
      <c r="F15" s="15">
        <v>37.0</v>
      </c>
      <c r="G15" s="15">
        <v>729.0</v>
      </c>
      <c r="H15" s="17">
        <f>'2021'!$G15/'2021'!$E15</f>
        <v>60.75</v>
      </c>
      <c r="I15" s="15">
        <v>19.7</v>
      </c>
      <c r="J15" s="15">
        <v>7.0</v>
      </c>
      <c r="K15" s="15">
        <v>0.0</v>
      </c>
      <c r="L15" s="15">
        <v>0.0</v>
      </c>
      <c r="M15" s="15">
        <v>0.0</v>
      </c>
      <c r="N15" s="15">
        <v>0.0</v>
      </c>
      <c r="O15" s="15">
        <v>0.0</v>
      </c>
      <c r="P15" s="18">
        <f t="shared" si="1"/>
        <v>11.11666667</v>
      </c>
      <c r="Q15" s="15">
        <v>18.0</v>
      </c>
      <c r="R15" s="15">
        <v>30.0</v>
      </c>
      <c r="S15" s="15">
        <v>27.0</v>
      </c>
      <c r="T15" s="18">
        <v>29.6</v>
      </c>
      <c r="U15" s="17">
        <v>22.12876712328767</v>
      </c>
      <c r="V15" s="15">
        <f>6*12+4</f>
        <v>76</v>
      </c>
      <c r="W15" s="15">
        <v>19.5</v>
      </c>
    </row>
    <row r="16">
      <c r="A16" s="15" t="s">
        <v>109</v>
      </c>
      <c r="B16" s="15" t="s">
        <v>110</v>
      </c>
      <c r="C16" s="15">
        <v>91.0</v>
      </c>
      <c r="D16" s="16" t="s">
        <v>111</v>
      </c>
      <c r="E16" s="16">
        <v>10.0</v>
      </c>
      <c r="F16" s="15">
        <v>54.0</v>
      </c>
      <c r="G16" s="15">
        <v>636.0</v>
      </c>
      <c r="H16" s="17">
        <f>'2021'!$G16/'2021'!$E16</f>
        <v>63.6</v>
      </c>
      <c r="I16" s="15">
        <v>11.8</v>
      </c>
      <c r="J16" s="15">
        <v>3.0</v>
      </c>
      <c r="K16" s="15">
        <v>4.0</v>
      </c>
      <c r="L16" s="15">
        <v>-6.0</v>
      </c>
      <c r="M16" s="15">
        <v>-1.5</v>
      </c>
      <c r="N16" s="15">
        <v>0.0</v>
      </c>
      <c r="O16" s="15">
        <v>1.0</v>
      </c>
      <c r="P16" s="18">
        <f t="shared" si="1"/>
        <v>10.6</v>
      </c>
      <c r="Q16" s="15">
        <v>28.0</v>
      </c>
      <c r="R16" s="15">
        <v>28.0</v>
      </c>
      <c r="S16" s="15">
        <v>28.0</v>
      </c>
      <c r="T16" s="18">
        <v>20.2</v>
      </c>
      <c r="U16" s="17">
        <v>20.660273972602738</v>
      </c>
      <c r="V16" s="15">
        <f>6*12</f>
        <v>72</v>
      </c>
      <c r="W16" s="15">
        <v>20.0</v>
      </c>
    </row>
    <row r="17">
      <c r="A17" s="15" t="s">
        <v>112</v>
      </c>
      <c r="B17" s="15" t="s">
        <v>97</v>
      </c>
      <c r="C17" s="15">
        <v>109.0</v>
      </c>
      <c r="D17" s="16" t="s">
        <v>113</v>
      </c>
      <c r="E17" s="16">
        <v>11.0</v>
      </c>
      <c r="F17" s="15">
        <v>43.0</v>
      </c>
      <c r="G17" s="15">
        <v>833.0</v>
      </c>
      <c r="H17" s="17">
        <f>'2021'!$G17/'2021'!$E17</f>
        <v>75.72727273</v>
      </c>
      <c r="I17" s="15">
        <v>19.4</v>
      </c>
      <c r="J17" s="15">
        <v>3.0</v>
      </c>
      <c r="K17" s="15">
        <v>0.0</v>
      </c>
      <c r="L17" s="15">
        <v>0.0</v>
      </c>
      <c r="M17" s="15">
        <v>0.0</v>
      </c>
      <c r="N17" s="15">
        <v>0.0</v>
      </c>
      <c r="O17" s="15">
        <v>1.0</v>
      </c>
      <c r="P17" s="18">
        <f t="shared" si="1"/>
        <v>10.98181818</v>
      </c>
      <c r="Q17" s="15">
        <v>21.0</v>
      </c>
      <c r="R17" s="15">
        <v>15.0</v>
      </c>
      <c r="S17" s="15">
        <v>23.0</v>
      </c>
      <c r="T17" s="18">
        <v>52.6</v>
      </c>
      <c r="U17" s="17">
        <v>23.38082191780822</v>
      </c>
      <c r="V17" s="15">
        <f>6*12+2</f>
        <v>74</v>
      </c>
      <c r="W17" s="15" t="s">
        <v>70</v>
      </c>
    </row>
    <row r="18">
      <c r="A18" s="15" t="s">
        <v>114</v>
      </c>
      <c r="B18" s="15" t="s">
        <v>43</v>
      </c>
      <c r="C18" s="15">
        <v>112.0</v>
      </c>
      <c r="D18" s="16" t="s">
        <v>115</v>
      </c>
      <c r="E18" s="16">
        <v>6.0</v>
      </c>
      <c r="F18" s="15">
        <v>41.0</v>
      </c>
      <c r="G18" s="15">
        <v>478.0</v>
      </c>
      <c r="H18" s="17">
        <f>'2021'!$G18/'2021'!$E18</f>
        <v>79.66666667</v>
      </c>
      <c r="I18" s="15">
        <v>11.7</v>
      </c>
      <c r="J18" s="15">
        <v>7.0</v>
      </c>
      <c r="K18" s="15">
        <v>0.0</v>
      </c>
      <c r="L18" s="15">
        <v>0.0</v>
      </c>
      <c r="M18" s="15">
        <v>0.0</v>
      </c>
      <c r="N18" s="15">
        <v>0.0</v>
      </c>
      <c r="O18" s="15">
        <v>0.0</v>
      </c>
      <c r="P18" s="18">
        <f t="shared" si="1"/>
        <v>18.38333333</v>
      </c>
      <c r="Q18" s="15">
        <v>23.0</v>
      </c>
      <c r="R18" s="15">
        <v>41.0</v>
      </c>
      <c r="S18" s="15">
        <v>33.0</v>
      </c>
      <c r="T18" s="18">
        <v>80.2</v>
      </c>
      <c r="U18" s="17">
        <v>21.528767123287672</v>
      </c>
      <c r="V18" s="15">
        <f>6*12+1</f>
        <v>73</v>
      </c>
      <c r="W18" s="15">
        <v>18.9</v>
      </c>
    </row>
    <row r="19">
      <c r="A19" s="15" t="s">
        <v>116</v>
      </c>
      <c r="B19" s="15" t="s">
        <v>117</v>
      </c>
      <c r="C19" s="15">
        <v>129.0</v>
      </c>
      <c r="D19" s="16" t="s">
        <v>76</v>
      </c>
      <c r="E19" s="16">
        <v>9.0</v>
      </c>
      <c r="F19" s="15">
        <v>74.0</v>
      </c>
      <c r="G19" s="15">
        <v>1190.0</v>
      </c>
      <c r="H19" s="17">
        <f>'2021'!$G19/'2021'!$E19</f>
        <v>132.2222222</v>
      </c>
      <c r="I19" s="15">
        <v>16.1</v>
      </c>
      <c r="J19" s="15">
        <v>19.0</v>
      </c>
      <c r="K19" s="15">
        <v>2.0</v>
      </c>
      <c r="L19" s="15">
        <v>-1.0</v>
      </c>
      <c r="M19" s="15">
        <v>-0.5</v>
      </c>
      <c r="N19" s="15">
        <v>0.0</v>
      </c>
      <c r="O19" s="15">
        <v>0.0</v>
      </c>
      <c r="P19" s="18">
        <f t="shared" si="1"/>
        <v>29.98888889</v>
      </c>
      <c r="Q19" s="15">
        <v>44.0</v>
      </c>
      <c r="R19" s="15">
        <v>75.0</v>
      </c>
      <c r="S19" s="15">
        <v>61.0</v>
      </c>
      <c r="T19" s="18">
        <v>0.0</v>
      </c>
      <c r="U19" s="17">
        <v>22.304109589041097</v>
      </c>
      <c r="V19" s="15">
        <f>5*12+9</f>
        <v>69</v>
      </c>
      <c r="W19" s="15">
        <v>20.6</v>
      </c>
    </row>
    <row r="20">
      <c r="A20" s="15" t="s">
        <v>118</v>
      </c>
      <c r="B20" s="15" t="s">
        <v>119</v>
      </c>
      <c r="C20" s="15">
        <v>131.0</v>
      </c>
      <c r="D20" s="16" t="s">
        <v>63</v>
      </c>
      <c r="E20" s="16">
        <v>10.0</v>
      </c>
      <c r="F20" s="15">
        <v>59.0</v>
      </c>
      <c r="G20" s="15">
        <v>917.0</v>
      </c>
      <c r="H20" s="17">
        <f>'2021'!$G20/'2021'!$E20</f>
        <v>91.7</v>
      </c>
      <c r="I20" s="15">
        <v>15.5</v>
      </c>
      <c r="J20" s="15">
        <v>6.0</v>
      </c>
      <c r="K20" s="15">
        <v>1.0</v>
      </c>
      <c r="L20" s="15">
        <v>7.0</v>
      </c>
      <c r="M20" s="15">
        <v>7.0</v>
      </c>
      <c r="N20" s="15">
        <v>0.0</v>
      </c>
      <c r="O20" s="15">
        <v>0.0</v>
      </c>
      <c r="P20" s="18">
        <f t="shared" si="1"/>
        <v>15.79</v>
      </c>
      <c r="Q20" s="15">
        <v>31.0</v>
      </c>
      <c r="R20" s="15">
        <v>37.0</v>
      </c>
      <c r="S20" s="15">
        <v>37.0</v>
      </c>
      <c r="T20" s="18">
        <v>21.7</v>
      </c>
      <c r="U20" s="17">
        <v>21.97808219178082</v>
      </c>
      <c r="V20" s="15">
        <f>6*12</f>
        <v>72</v>
      </c>
      <c r="W20" s="15">
        <v>19.3</v>
      </c>
    </row>
    <row r="21">
      <c r="A21" s="15" t="s">
        <v>120</v>
      </c>
      <c r="B21" s="15" t="s">
        <v>121</v>
      </c>
      <c r="C21" s="15">
        <v>157.0</v>
      </c>
      <c r="D21" s="16" t="s">
        <v>35</v>
      </c>
      <c r="E21" s="16">
        <v>7.0</v>
      </c>
      <c r="F21" s="15">
        <v>25.0</v>
      </c>
      <c r="G21" s="15">
        <v>345.0</v>
      </c>
      <c r="H21" s="17">
        <f>'2021'!$G21/'2021'!$E21</f>
        <v>49.28571429</v>
      </c>
      <c r="I21" s="15">
        <v>13.8</v>
      </c>
      <c r="J21" s="15">
        <v>4.0</v>
      </c>
      <c r="K21" s="15">
        <v>7.0</v>
      </c>
      <c r="L21" s="15">
        <v>54.0</v>
      </c>
      <c r="M21" s="15">
        <v>7.7</v>
      </c>
      <c r="N21" s="15">
        <v>1.0</v>
      </c>
      <c r="O21" s="15">
        <v>1.0</v>
      </c>
      <c r="P21" s="18">
        <f t="shared" si="1"/>
        <v>11.48571429</v>
      </c>
      <c r="Q21" s="15">
        <v>20.0</v>
      </c>
      <c r="R21" s="15">
        <v>51.0</v>
      </c>
      <c r="S21" s="15">
        <v>37.0</v>
      </c>
      <c r="T21" s="18">
        <v>10.5</v>
      </c>
      <c r="U21" s="17">
        <v>21.682191780821917</v>
      </c>
      <c r="V21" s="15">
        <f>6*12+1</f>
        <v>73</v>
      </c>
      <c r="W21" s="15">
        <v>20.0</v>
      </c>
    </row>
    <row r="22">
      <c r="A22" s="15" t="s">
        <v>122</v>
      </c>
      <c r="B22" s="15" t="s">
        <v>123</v>
      </c>
      <c r="C22" s="15">
        <v>179.0</v>
      </c>
      <c r="D22" s="16" t="s">
        <v>29</v>
      </c>
      <c r="E22" s="16">
        <v>6.0</v>
      </c>
      <c r="F22" s="15">
        <v>37.0</v>
      </c>
      <c r="G22" s="15">
        <v>584.0</v>
      </c>
      <c r="H22" s="17">
        <f>'2021'!$G22/'2021'!$E22</f>
        <v>97.33333333</v>
      </c>
      <c r="I22" s="15">
        <v>15.8</v>
      </c>
      <c r="J22" s="15">
        <v>3.0</v>
      </c>
      <c r="K22" s="15">
        <v>1.0</v>
      </c>
      <c r="L22" s="15">
        <v>-1.0</v>
      </c>
      <c r="M22" s="15">
        <v>-1.0</v>
      </c>
      <c r="N22" s="15">
        <v>0.0</v>
      </c>
      <c r="O22" s="15">
        <v>0.0</v>
      </c>
      <c r="P22" s="18">
        <f t="shared" si="1"/>
        <v>15.8</v>
      </c>
      <c r="Q22" s="15">
        <v>26.0</v>
      </c>
      <c r="R22" s="15">
        <v>43.0</v>
      </c>
      <c r="S22" s="15">
        <v>38.0</v>
      </c>
      <c r="T22" s="18">
        <v>0.0</v>
      </c>
      <c r="U22" s="17">
        <v>23.495890410958904</v>
      </c>
      <c r="V22" s="15">
        <f>6*12+4</f>
        <v>76</v>
      </c>
      <c r="W22" s="15">
        <v>21.8</v>
      </c>
    </row>
    <row r="23">
      <c r="A23" s="15" t="s">
        <v>124</v>
      </c>
      <c r="B23" s="15" t="s">
        <v>37</v>
      </c>
      <c r="C23" s="15">
        <v>187.0</v>
      </c>
      <c r="D23" s="16" t="s">
        <v>125</v>
      </c>
      <c r="E23" s="16">
        <v>12.0</v>
      </c>
      <c r="F23" s="15">
        <v>31.0</v>
      </c>
      <c r="G23" s="15">
        <v>616.0</v>
      </c>
      <c r="H23" s="17">
        <f>'2021'!$G23/'2021'!$E23</f>
        <v>51.33333333</v>
      </c>
      <c r="I23" s="15">
        <v>19.9</v>
      </c>
      <c r="J23" s="15">
        <v>8.0</v>
      </c>
      <c r="K23" s="15">
        <v>0.0</v>
      </c>
      <c r="L23" s="15">
        <v>0.0</v>
      </c>
      <c r="M23" s="15">
        <v>0.0</v>
      </c>
      <c r="N23" s="15">
        <v>0.0</v>
      </c>
      <c r="O23" s="15">
        <v>0.0</v>
      </c>
      <c r="P23" s="18">
        <f t="shared" si="1"/>
        <v>10.425</v>
      </c>
      <c r="Q23" s="15">
        <v>14.0</v>
      </c>
      <c r="R23" s="15">
        <v>41.0</v>
      </c>
      <c r="S23" s="15">
        <v>30.0</v>
      </c>
      <c r="T23" s="18">
        <v>6.3</v>
      </c>
      <c r="U23" s="17">
        <v>23.654794520547945</v>
      </c>
      <c r="V23" s="15">
        <f>6*12+1</f>
        <v>73</v>
      </c>
      <c r="W23" s="15" t="s">
        <v>70</v>
      </c>
    </row>
    <row r="24">
      <c r="A24" s="15" t="s">
        <v>126</v>
      </c>
      <c r="B24" s="15" t="s">
        <v>127</v>
      </c>
      <c r="C24" s="15">
        <v>203.0</v>
      </c>
      <c r="D24" s="16" t="s">
        <v>66</v>
      </c>
      <c r="E24" s="16">
        <v>13.0</v>
      </c>
      <c r="F24" s="15">
        <v>75.0</v>
      </c>
      <c r="G24" s="15">
        <v>1019.0</v>
      </c>
      <c r="H24" s="17">
        <f>'2021'!$G24/'2021'!$E24</f>
        <v>78.38461538</v>
      </c>
      <c r="I24" s="15">
        <v>13.6</v>
      </c>
      <c r="J24" s="15">
        <v>9.0</v>
      </c>
      <c r="K24" s="15">
        <v>14.0</v>
      </c>
      <c r="L24" s="15">
        <v>126.0</v>
      </c>
      <c r="M24" s="15">
        <v>9.0</v>
      </c>
      <c r="N24" s="15">
        <v>2.0</v>
      </c>
      <c r="O24" s="15">
        <v>3.0</v>
      </c>
      <c r="P24" s="18">
        <f t="shared" si="1"/>
        <v>16.30769231</v>
      </c>
      <c r="Q24" s="15">
        <v>26.0</v>
      </c>
      <c r="R24" s="15">
        <v>20.0</v>
      </c>
      <c r="S24" s="15">
        <v>23.0</v>
      </c>
      <c r="T24" s="18">
        <v>12.2</v>
      </c>
      <c r="U24" s="17">
        <v>23.10958904109589</v>
      </c>
      <c r="V24" s="15">
        <f>6*12</f>
        <v>72</v>
      </c>
      <c r="W24" s="15" t="s">
        <v>70</v>
      </c>
    </row>
    <row r="25">
      <c r="A25" s="15" t="s">
        <v>128</v>
      </c>
      <c r="B25" s="15" t="s">
        <v>60</v>
      </c>
      <c r="C25" s="15">
        <v>204.0</v>
      </c>
      <c r="D25" s="16" t="s">
        <v>99</v>
      </c>
      <c r="E25" s="16">
        <v>9.0</v>
      </c>
      <c r="F25" s="15">
        <v>57.0</v>
      </c>
      <c r="G25" s="15">
        <v>633.0</v>
      </c>
      <c r="H25" s="17">
        <f>'2021'!$G25/'2021'!$E25</f>
        <v>70.33333333</v>
      </c>
      <c r="I25" s="15">
        <v>11.1</v>
      </c>
      <c r="J25" s="15">
        <v>4.0</v>
      </c>
      <c r="K25" s="15">
        <v>6.0</v>
      </c>
      <c r="L25" s="15">
        <v>6.0</v>
      </c>
      <c r="M25" s="15">
        <v>1.0</v>
      </c>
      <c r="N25" s="15">
        <v>0.0</v>
      </c>
      <c r="O25" s="15">
        <v>1.0</v>
      </c>
      <c r="P25" s="18">
        <f t="shared" si="1"/>
        <v>12.71111111</v>
      </c>
      <c r="Q25" s="15">
        <v>36.0</v>
      </c>
      <c r="R25" s="15">
        <v>56.0</v>
      </c>
      <c r="S25" s="15">
        <v>46.0</v>
      </c>
      <c r="T25" s="18">
        <v>28.8</v>
      </c>
      <c r="U25" s="17">
        <v>22.523287671232875</v>
      </c>
      <c r="V25" s="15">
        <f>5*12+10</f>
        <v>70</v>
      </c>
      <c r="W25" s="15">
        <v>19.9</v>
      </c>
    </row>
    <row r="26">
      <c r="A26" s="15" t="s">
        <v>129</v>
      </c>
      <c r="B26" s="15" t="s">
        <v>110</v>
      </c>
      <c r="C26" s="15">
        <v>219.0</v>
      </c>
      <c r="D26" s="16" t="s">
        <v>26</v>
      </c>
      <c r="E26" s="16">
        <v>11.0</v>
      </c>
      <c r="F26" s="15">
        <v>47.0</v>
      </c>
      <c r="G26" s="15">
        <v>760.0</v>
      </c>
      <c r="H26" s="17">
        <f>'2021'!$G26/'2021'!$E26</f>
        <v>69.09090909</v>
      </c>
      <c r="I26" s="15">
        <v>16.2</v>
      </c>
      <c r="J26" s="15">
        <v>4.0</v>
      </c>
      <c r="K26" s="15">
        <v>0.0</v>
      </c>
      <c r="L26" s="15">
        <v>0.0</v>
      </c>
      <c r="M26" s="15">
        <v>0.0</v>
      </c>
      <c r="N26" s="15">
        <v>0.0</v>
      </c>
      <c r="O26" s="15">
        <v>1.0</v>
      </c>
      <c r="P26" s="18">
        <f t="shared" si="1"/>
        <v>11.04545455</v>
      </c>
      <c r="Q26" s="15">
        <v>22.0</v>
      </c>
      <c r="R26" s="15">
        <v>33.0</v>
      </c>
      <c r="S26" s="15">
        <v>32.0</v>
      </c>
      <c r="T26" s="18">
        <v>0.0</v>
      </c>
      <c r="U26" s="17">
        <v>21.065753424657533</v>
      </c>
      <c r="V26" s="15">
        <f>6*12+3</f>
        <v>75</v>
      </c>
      <c r="W26" s="15">
        <v>19.4</v>
      </c>
    </row>
    <row r="27">
      <c r="A27" s="15" t="s">
        <v>130</v>
      </c>
      <c r="B27" s="15" t="s">
        <v>103</v>
      </c>
      <c r="C27" s="15">
        <v>221.0</v>
      </c>
      <c r="D27" s="16" t="s">
        <v>79</v>
      </c>
      <c r="E27" s="16">
        <v>12.0</v>
      </c>
      <c r="F27" s="15">
        <v>72.0</v>
      </c>
      <c r="G27" s="15">
        <v>1018.0</v>
      </c>
      <c r="H27" s="17">
        <f>'2021'!$G27/'2021'!$E27</f>
        <v>84.83333333</v>
      </c>
      <c r="I27" s="15">
        <v>14.1</v>
      </c>
      <c r="J27" s="15">
        <v>10.0</v>
      </c>
      <c r="K27" s="15">
        <v>3.0</v>
      </c>
      <c r="L27" s="15">
        <v>9.0</v>
      </c>
      <c r="M27" s="15">
        <v>3.0</v>
      </c>
      <c r="N27" s="15">
        <v>0.0</v>
      </c>
      <c r="O27" s="15">
        <v>1.0</v>
      </c>
      <c r="P27" s="18">
        <f t="shared" si="1"/>
        <v>16.39166667</v>
      </c>
      <c r="Q27" s="15">
        <v>29.0</v>
      </c>
      <c r="R27" s="15">
        <v>28.0</v>
      </c>
      <c r="S27" s="15">
        <v>28.0</v>
      </c>
      <c r="T27" s="18">
        <v>67.0</v>
      </c>
      <c r="U27" s="17">
        <v>21.972602739726028</v>
      </c>
      <c r="V27" s="15">
        <f>5*12+11</f>
        <v>71</v>
      </c>
      <c r="W27" s="15">
        <v>20.3</v>
      </c>
    </row>
    <row r="28">
      <c r="A28" s="15" t="s">
        <v>131</v>
      </c>
      <c r="B28" s="15" t="s">
        <v>132</v>
      </c>
      <c r="C28" s="15">
        <v>258.0</v>
      </c>
      <c r="D28" s="16" t="s">
        <v>69</v>
      </c>
      <c r="E28" s="16">
        <v>12.0</v>
      </c>
      <c r="F28" s="15">
        <v>70.0</v>
      </c>
      <c r="G28" s="15">
        <v>1188.0</v>
      </c>
      <c r="H28" s="17">
        <f>'2021'!$G28/'2021'!$E28</f>
        <v>99</v>
      </c>
      <c r="I28" s="15">
        <v>17.0</v>
      </c>
      <c r="J28" s="15">
        <v>8.0</v>
      </c>
      <c r="K28" s="15">
        <v>11.0</v>
      </c>
      <c r="L28" s="15">
        <v>67.0</v>
      </c>
      <c r="M28" s="15">
        <v>6.1</v>
      </c>
      <c r="N28" s="15">
        <v>0.0</v>
      </c>
      <c r="O28" s="15">
        <v>2.0</v>
      </c>
      <c r="P28" s="18">
        <f t="shared" si="1"/>
        <v>17.04166667</v>
      </c>
      <c r="Q28" s="15">
        <v>26.0</v>
      </c>
      <c r="R28" s="15">
        <v>24.0</v>
      </c>
      <c r="S28" s="15">
        <v>26.0</v>
      </c>
      <c r="T28" s="18">
        <v>11.4</v>
      </c>
      <c r="U28" s="17">
        <v>21.865753424657534</v>
      </c>
      <c r="V28" s="15">
        <f>6*12</f>
        <v>72</v>
      </c>
      <c r="W28" s="15" t="s">
        <v>70</v>
      </c>
    </row>
    <row r="2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20"/>
      <c r="U29" s="19"/>
      <c r="V29" s="19"/>
      <c r="W29" s="19"/>
    </row>
    <row r="30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20"/>
      <c r="U30" s="19"/>
      <c r="V30" s="19"/>
      <c r="W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7.5"/>
    <col customWidth="1" min="2" max="6" width="12.63"/>
    <col customWidth="1" min="8" max="8" width="14.63"/>
  </cols>
  <sheetData>
    <row r="1">
      <c r="A1" s="21" t="s">
        <v>0</v>
      </c>
      <c r="B1" s="21" t="s">
        <v>1</v>
      </c>
      <c r="C1" s="22" t="s">
        <v>2</v>
      </c>
      <c r="D1" s="21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1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1" t="s">
        <v>14</v>
      </c>
      <c r="P1" s="21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1" t="s">
        <v>20</v>
      </c>
      <c r="V1" s="22" t="s">
        <v>21</v>
      </c>
      <c r="W1" s="21" t="s">
        <v>80</v>
      </c>
    </row>
    <row r="2">
      <c r="A2" s="23" t="s">
        <v>133</v>
      </c>
      <c r="B2" s="23" t="s">
        <v>43</v>
      </c>
      <c r="C2" s="23">
        <v>8.0</v>
      </c>
      <c r="D2" s="23" t="s">
        <v>125</v>
      </c>
      <c r="E2" s="23">
        <v>8.0</v>
      </c>
      <c r="F2" s="23">
        <v>88.0</v>
      </c>
      <c r="G2" s="23">
        <v>1084.0</v>
      </c>
      <c r="H2" s="24">
        <f t="shared" ref="H2:H31" si="1">G2/E2</f>
        <v>135.5</v>
      </c>
      <c r="I2" s="23">
        <v>12.3</v>
      </c>
      <c r="J2" s="23">
        <v>7.0</v>
      </c>
      <c r="K2" s="23">
        <v>1.0</v>
      </c>
      <c r="L2" s="23">
        <v>2.0</v>
      </c>
      <c r="M2" s="23">
        <v>2.0</v>
      </c>
      <c r="N2" s="23">
        <v>0.0</v>
      </c>
      <c r="O2" s="23">
        <v>0.0</v>
      </c>
      <c r="P2" s="25">
        <f t="shared" ref="P2:P31" si="2">(F2*0.5+G2/10+J2*6+L2/10+N2*6-O2*2)/E2</f>
        <v>24.325</v>
      </c>
      <c r="Q2" s="26">
        <v>45.0</v>
      </c>
      <c r="R2" s="26">
        <v>54.0</v>
      </c>
      <c r="S2" s="26">
        <v>51.0</v>
      </c>
      <c r="T2" s="23">
        <v>26.0</v>
      </c>
      <c r="U2" s="25">
        <v>20.775342465753425</v>
      </c>
      <c r="V2" s="23">
        <v>77.0</v>
      </c>
      <c r="W2" s="23">
        <v>18.1</v>
      </c>
    </row>
    <row r="3">
      <c r="A3" s="23" t="s">
        <v>134</v>
      </c>
      <c r="B3" s="23" t="s">
        <v>135</v>
      </c>
      <c r="C3" s="23">
        <v>10.0</v>
      </c>
      <c r="D3" s="23" t="s">
        <v>58</v>
      </c>
      <c r="E3" s="23">
        <v>11.0</v>
      </c>
      <c r="F3" s="23">
        <v>70.0</v>
      </c>
      <c r="G3" s="23">
        <v>1058.0</v>
      </c>
      <c r="H3" s="24">
        <f t="shared" si="1"/>
        <v>96.18181818</v>
      </c>
      <c r="I3" s="23">
        <v>15.1</v>
      </c>
      <c r="J3" s="23">
        <v>12.0</v>
      </c>
      <c r="K3" s="23">
        <v>4.0</v>
      </c>
      <c r="L3" s="23">
        <v>76.0</v>
      </c>
      <c r="M3" s="23">
        <v>19.0</v>
      </c>
      <c r="N3" s="23">
        <v>1.0</v>
      </c>
      <c r="O3" s="23">
        <v>0.0</v>
      </c>
      <c r="P3" s="25">
        <f t="shared" si="2"/>
        <v>20.58181818</v>
      </c>
      <c r="Q3" s="26">
        <v>24.0</v>
      </c>
      <c r="R3" s="26">
        <v>31.0</v>
      </c>
      <c r="S3" s="26">
        <v>28.000000000000004</v>
      </c>
      <c r="T3" s="23">
        <v>21.0</v>
      </c>
      <c r="U3" s="25">
        <v>21.78082191780822</v>
      </c>
      <c r="V3" s="23">
        <v>72.0</v>
      </c>
      <c r="W3" s="23">
        <v>20.1</v>
      </c>
    </row>
    <row r="4">
      <c r="A4" s="23" t="s">
        <v>136</v>
      </c>
      <c r="B4" s="23" t="s">
        <v>135</v>
      </c>
      <c r="C4" s="23">
        <v>11.0</v>
      </c>
      <c r="D4" s="23" t="s">
        <v>137</v>
      </c>
      <c r="E4" s="23">
        <v>11.0</v>
      </c>
      <c r="F4" s="23">
        <v>65.0</v>
      </c>
      <c r="G4" s="23">
        <v>936.0</v>
      </c>
      <c r="H4" s="24">
        <f t="shared" si="1"/>
        <v>85.09090909</v>
      </c>
      <c r="I4" s="23">
        <v>14.4</v>
      </c>
      <c r="J4" s="23">
        <v>13.0</v>
      </c>
      <c r="K4" s="23">
        <v>0.0</v>
      </c>
      <c r="L4" s="23">
        <v>0.0</v>
      </c>
      <c r="M4" s="23">
        <v>0.0</v>
      </c>
      <c r="N4" s="23">
        <v>0.0</v>
      </c>
      <c r="O4" s="23">
        <v>0.0</v>
      </c>
      <c r="P4" s="25">
        <f t="shared" si="2"/>
        <v>18.55454545</v>
      </c>
      <c r="Q4" s="26">
        <v>22.0</v>
      </c>
      <c r="R4" s="26">
        <v>33.0</v>
      </c>
      <c r="S4" s="26">
        <v>27.0</v>
      </c>
      <c r="T4" s="23">
        <v>13.0</v>
      </c>
      <c r="U4" s="25">
        <v>21.84931506849315</v>
      </c>
      <c r="V4" s="23">
        <v>73.0</v>
      </c>
      <c r="W4" s="23">
        <v>19.2</v>
      </c>
    </row>
    <row r="5">
      <c r="A5" s="23" t="s">
        <v>138</v>
      </c>
      <c r="B5" s="23" t="s">
        <v>23</v>
      </c>
      <c r="C5" s="23">
        <v>12.0</v>
      </c>
      <c r="D5" s="23" t="s">
        <v>115</v>
      </c>
      <c r="E5" s="23">
        <v>15.0</v>
      </c>
      <c r="F5" s="23">
        <v>79.0</v>
      </c>
      <c r="G5" s="23">
        <v>1572.0</v>
      </c>
      <c r="H5" s="24">
        <f t="shared" si="1"/>
        <v>104.8</v>
      </c>
      <c r="I5" s="23">
        <v>19.9</v>
      </c>
      <c r="J5" s="23">
        <v>15.0</v>
      </c>
      <c r="K5" s="23">
        <v>3.0</v>
      </c>
      <c r="L5" s="23">
        <v>23.0</v>
      </c>
      <c r="M5" s="23">
        <v>7.7</v>
      </c>
      <c r="N5" s="23">
        <v>0.0</v>
      </c>
      <c r="O5" s="23">
        <v>2.0</v>
      </c>
      <c r="P5" s="25">
        <f t="shared" si="2"/>
        <v>19</v>
      </c>
      <c r="Q5" s="26">
        <v>21.0</v>
      </c>
      <c r="R5" s="26">
        <v>31.0</v>
      </c>
      <c r="S5" s="26">
        <v>31.0</v>
      </c>
      <c r="T5" s="23">
        <v>5.0</v>
      </c>
      <c r="U5" s="25">
        <v>21.104109589041094</v>
      </c>
      <c r="V5" s="23">
        <v>74.0</v>
      </c>
      <c r="W5" s="23">
        <v>20.4</v>
      </c>
    </row>
    <row r="6">
      <c r="A6" s="23" t="s">
        <v>139</v>
      </c>
      <c r="B6" s="23" t="s">
        <v>49</v>
      </c>
      <c r="C6" s="23">
        <v>16.0</v>
      </c>
      <c r="D6" s="23" t="s">
        <v>69</v>
      </c>
      <c r="E6" s="23">
        <v>12.0</v>
      </c>
      <c r="F6" s="23">
        <v>91.0</v>
      </c>
      <c r="G6" s="23">
        <v>1182.0</v>
      </c>
      <c r="H6" s="24">
        <f t="shared" si="1"/>
        <v>98.5</v>
      </c>
      <c r="I6" s="23">
        <v>13.0</v>
      </c>
      <c r="J6" s="23">
        <v>12.0</v>
      </c>
      <c r="K6" s="23">
        <v>6.0</v>
      </c>
      <c r="L6" s="23">
        <v>18.0</v>
      </c>
      <c r="M6" s="23">
        <v>3.0</v>
      </c>
      <c r="N6" s="23">
        <v>1.0</v>
      </c>
      <c r="O6" s="23">
        <v>1.0</v>
      </c>
      <c r="P6" s="25">
        <f t="shared" si="2"/>
        <v>20.125</v>
      </c>
      <c r="Q6" s="26">
        <v>34.0</v>
      </c>
      <c r="R6" s="26">
        <v>52.0</v>
      </c>
      <c r="S6" s="26">
        <v>44.0</v>
      </c>
      <c r="T6" s="23">
        <v>20.0</v>
      </c>
      <c r="U6" s="25">
        <v>22.115068493150684</v>
      </c>
      <c r="V6" s="23">
        <v>71.0</v>
      </c>
      <c r="W6" s="23">
        <v>20.5</v>
      </c>
    </row>
    <row r="7">
      <c r="A7" s="23" t="s">
        <v>140</v>
      </c>
      <c r="B7" s="23" t="s">
        <v>141</v>
      </c>
      <c r="C7" s="23">
        <v>18.0</v>
      </c>
      <c r="D7" s="23" t="s">
        <v>113</v>
      </c>
      <c r="E7" s="23">
        <v>12.0</v>
      </c>
      <c r="F7" s="23">
        <v>67.0</v>
      </c>
      <c r="G7" s="23">
        <v>1123.0</v>
      </c>
      <c r="H7" s="24">
        <f t="shared" si="1"/>
        <v>93.58333333</v>
      </c>
      <c r="I7" s="23">
        <v>16.8</v>
      </c>
      <c r="J7" s="23">
        <v>11.0</v>
      </c>
      <c r="K7" s="23">
        <v>14.0</v>
      </c>
      <c r="L7" s="23">
        <v>112.0</v>
      </c>
      <c r="M7" s="23">
        <v>8.0</v>
      </c>
      <c r="N7" s="23">
        <v>1.0</v>
      </c>
      <c r="O7" s="23">
        <v>1.0</v>
      </c>
      <c r="P7" s="25">
        <f t="shared" si="2"/>
        <v>18.91666667</v>
      </c>
      <c r="Q7" s="26">
        <v>35.0</v>
      </c>
      <c r="R7" s="26">
        <v>54.0</v>
      </c>
      <c r="S7" s="26">
        <v>48.0</v>
      </c>
      <c r="T7" s="23">
        <v>43.0</v>
      </c>
      <c r="U7" s="25">
        <v>22.112328767123287</v>
      </c>
      <c r="V7" s="23">
        <v>75.0</v>
      </c>
      <c r="W7" s="23">
        <v>20.5</v>
      </c>
    </row>
    <row r="8">
      <c r="A8" s="23" t="s">
        <v>142</v>
      </c>
      <c r="B8" s="23" t="s">
        <v>143</v>
      </c>
      <c r="C8" s="23">
        <v>34.0</v>
      </c>
      <c r="D8" s="23" t="s">
        <v>105</v>
      </c>
      <c r="E8" s="23">
        <v>12.0</v>
      </c>
      <c r="F8" s="23">
        <v>43.0</v>
      </c>
      <c r="G8" s="23">
        <v>801.0</v>
      </c>
      <c r="H8" s="24">
        <f t="shared" si="1"/>
        <v>66.75</v>
      </c>
      <c r="I8" s="23">
        <v>18.6</v>
      </c>
      <c r="J8" s="23">
        <v>7.0</v>
      </c>
      <c r="K8" s="23">
        <v>15.0</v>
      </c>
      <c r="L8" s="23">
        <v>114.0</v>
      </c>
      <c r="M8" s="23">
        <v>7.6</v>
      </c>
      <c r="N8" s="23">
        <v>1.0</v>
      </c>
      <c r="O8" s="23">
        <v>0.0</v>
      </c>
      <c r="P8" s="25">
        <f t="shared" si="2"/>
        <v>13.41666667</v>
      </c>
      <c r="Q8" s="26">
        <v>0.0</v>
      </c>
      <c r="R8" s="26">
        <v>0.0</v>
      </c>
      <c r="S8" s="26">
        <v>0.0</v>
      </c>
      <c r="T8" s="23">
        <v>44.0</v>
      </c>
      <c r="U8" s="25">
        <v>22.97808219178082</v>
      </c>
      <c r="V8" s="23">
        <v>77.0</v>
      </c>
      <c r="W8" s="23" t="s">
        <v>70</v>
      </c>
    </row>
    <row r="9">
      <c r="A9" s="23" t="s">
        <v>144</v>
      </c>
      <c r="B9" s="23" t="s">
        <v>145</v>
      </c>
      <c r="C9" s="23">
        <v>43.0</v>
      </c>
      <c r="D9" s="23" t="s">
        <v>86</v>
      </c>
      <c r="E9" s="23">
        <v>13.0</v>
      </c>
      <c r="F9" s="23">
        <v>104.0</v>
      </c>
      <c r="G9" s="23">
        <v>1334.0</v>
      </c>
      <c r="H9" s="24">
        <f t="shared" si="1"/>
        <v>102.6153846</v>
      </c>
      <c r="I9" s="23">
        <v>12.8</v>
      </c>
      <c r="J9" s="23">
        <v>7.0</v>
      </c>
      <c r="K9" s="23">
        <v>7.0</v>
      </c>
      <c r="L9" s="23">
        <v>111.0</v>
      </c>
      <c r="M9" s="23">
        <v>15.9</v>
      </c>
      <c r="N9" s="23">
        <v>0.0</v>
      </c>
      <c r="O9" s="23">
        <v>1.0</v>
      </c>
      <c r="P9" s="25">
        <f t="shared" si="2"/>
        <v>18.19230769</v>
      </c>
      <c r="Q9" s="26">
        <v>43.0</v>
      </c>
      <c r="R9" s="26">
        <v>28.999999999999996</v>
      </c>
      <c r="S9" s="26">
        <v>37.0</v>
      </c>
      <c r="T9" s="23">
        <v>3.0</v>
      </c>
      <c r="U9" s="25">
        <v>21.323287671232876</v>
      </c>
      <c r="V9" s="23">
        <v>71.0</v>
      </c>
      <c r="W9" s="23">
        <v>18.7</v>
      </c>
    </row>
    <row r="10">
      <c r="A10" s="23" t="s">
        <v>146</v>
      </c>
      <c r="B10" s="23" t="s">
        <v>23</v>
      </c>
      <c r="C10" s="23">
        <v>44.0</v>
      </c>
      <c r="D10" s="23" t="s">
        <v>108</v>
      </c>
      <c r="E10" s="23">
        <v>13.0</v>
      </c>
      <c r="F10" s="23">
        <v>96.0</v>
      </c>
      <c r="G10" s="23">
        <v>1142.0</v>
      </c>
      <c r="H10" s="24">
        <f t="shared" si="1"/>
        <v>87.84615385</v>
      </c>
      <c r="I10" s="23">
        <v>11.9</v>
      </c>
      <c r="J10" s="23">
        <v>8.0</v>
      </c>
      <c r="K10" s="23">
        <v>1.0</v>
      </c>
      <c r="L10" s="23">
        <v>8.0</v>
      </c>
      <c r="M10" s="23">
        <v>8.0</v>
      </c>
      <c r="N10" s="23">
        <v>0.0</v>
      </c>
      <c r="O10" s="23">
        <v>1.0</v>
      </c>
      <c r="P10" s="25">
        <f t="shared" si="2"/>
        <v>16.07692308</v>
      </c>
      <c r="Q10" s="26">
        <v>28.999999999999996</v>
      </c>
      <c r="R10" s="26">
        <v>19.0</v>
      </c>
      <c r="S10" s="26">
        <v>22.0</v>
      </c>
      <c r="T10" s="23">
        <v>8.0</v>
      </c>
      <c r="U10" s="25">
        <v>21.791780821917808</v>
      </c>
      <c r="V10" s="23">
        <v>72.0</v>
      </c>
      <c r="W10" s="23">
        <v>21.1</v>
      </c>
    </row>
    <row r="11">
      <c r="A11" s="23" t="s">
        <v>147</v>
      </c>
      <c r="B11" s="23" t="s">
        <v>57</v>
      </c>
      <c r="C11" s="23">
        <v>50.0</v>
      </c>
      <c r="D11" s="23" t="s">
        <v>148</v>
      </c>
      <c r="E11" s="23">
        <v>14.0</v>
      </c>
      <c r="F11" s="23">
        <v>62.0</v>
      </c>
      <c r="G11" s="23">
        <v>948.0</v>
      </c>
      <c r="H11" s="24">
        <f t="shared" si="1"/>
        <v>67.71428571</v>
      </c>
      <c r="I11" s="23">
        <v>15.3</v>
      </c>
      <c r="J11" s="23">
        <v>10.0</v>
      </c>
      <c r="K11" s="23">
        <v>1.0</v>
      </c>
      <c r="L11" s="23">
        <v>-11.0</v>
      </c>
      <c r="M11" s="23">
        <v>-11.0</v>
      </c>
      <c r="N11" s="23">
        <v>0.0</v>
      </c>
      <c r="O11" s="23">
        <v>0.0</v>
      </c>
      <c r="P11" s="25">
        <f t="shared" si="2"/>
        <v>13.19285714</v>
      </c>
      <c r="Q11" s="26">
        <v>26.0</v>
      </c>
      <c r="R11" s="26">
        <v>42.0</v>
      </c>
      <c r="S11" s="26">
        <v>37.0</v>
      </c>
      <c r="T11" s="23">
        <v>1.0</v>
      </c>
      <c r="U11" s="25">
        <v>21.736986301369864</v>
      </c>
      <c r="V11" s="23">
        <v>75.0</v>
      </c>
      <c r="W11" s="23" t="s">
        <v>70</v>
      </c>
    </row>
    <row r="12">
      <c r="A12" s="23" t="s">
        <v>149</v>
      </c>
      <c r="B12" s="23" t="s">
        <v>150</v>
      </c>
      <c r="C12" s="23">
        <v>52.0</v>
      </c>
      <c r="D12" s="23" t="s">
        <v>52</v>
      </c>
      <c r="E12" s="23">
        <v>12.0</v>
      </c>
      <c r="F12" s="23">
        <v>49.0</v>
      </c>
      <c r="G12" s="23">
        <v>727.0</v>
      </c>
      <c r="H12" s="24">
        <f t="shared" si="1"/>
        <v>60.58333333</v>
      </c>
      <c r="I12" s="23">
        <v>14.8</v>
      </c>
      <c r="J12" s="23">
        <v>8.0</v>
      </c>
      <c r="K12" s="23">
        <v>0.0</v>
      </c>
      <c r="L12" s="23">
        <v>0.0</v>
      </c>
      <c r="M12" s="23">
        <v>0.0</v>
      </c>
      <c r="N12" s="23">
        <v>0.0</v>
      </c>
      <c r="O12" s="23">
        <v>0.0</v>
      </c>
      <c r="P12" s="25">
        <f t="shared" si="2"/>
        <v>12.1</v>
      </c>
      <c r="Q12" s="26">
        <v>22.0</v>
      </c>
      <c r="R12" s="26">
        <v>36.0</v>
      </c>
      <c r="S12" s="26">
        <v>31.0</v>
      </c>
      <c r="T12" s="23">
        <v>21.0</v>
      </c>
      <c r="U12" s="25">
        <v>21.164383561643834</v>
      </c>
      <c r="V12" s="23">
        <v>75.0</v>
      </c>
      <c r="W12" s="23">
        <v>18.5</v>
      </c>
    </row>
    <row r="13">
      <c r="A13" s="23" t="s">
        <v>151</v>
      </c>
      <c r="B13" s="23" t="s">
        <v>152</v>
      </c>
      <c r="C13" s="23">
        <v>53.0</v>
      </c>
      <c r="D13" s="23" t="s">
        <v>44</v>
      </c>
      <c r="E13" s="23">
        <v>14.0</v>
      </c>
      <c r="F13" s="23">
        <v>52.0</v>
      </c>
      <c r="G13" s="23">
        <v>884.0</v>
      </c>
      <c r="H13" s="24">
        <f t="shared" si="1"/>
        <v>63.14285714</v>
      </c>
      <c r="I13" s="23">
        <v>17.0</v>
      </c>
      <c r="J13" s="23">
        <v>8.0</v>
      </c>
      <c r="K13" s="23">
        <v>0.0</v>
      </c>
      <c r="L13" s="23">
        <v>0.0</v>
      </c>
      <c r="M13" s="23">
        <v>0.0</v>
      </c>
      <c r="N13" s="23">
        <v>0.0</v>
      </c>
      <c r="O13" s="23">
        <v>0.0</v>
      </c>
      <c r="P13" s="25">
        <f t="shared" si="2"/>
        <v>11.6</v>
      </c>
      <c r="Q13" s="26">
        <v>20.0</v>
      </c>
      <c r="R13" s="26">
        <v>24.0</v>
      </c>
      <c r="S13" s="26">
        <v>25.0</v>
      </c>
      <c r="T13" s="23">
        <v>26.0</v>
      </c>
      <c r="U13" s="25">
        <v>22.002739726027396</v>
      </c>
      <c r="V13" s="23">
        <v>75.0</v>
      </c>
      <c r="W13" s="23">
        <v>20.3</v>
      </c>
    </row>
    <row r="14">
      <c r="A14" s="23" t="s">
        <v>153</v>
      </c>
      <c r="B14" s="23" t="s">
        <v>94</v>
      </c>
      <c r="C14" s="23">
        <v>54.0</v>
      </c>
      <c r="D14" s="23" t="s">
        <v>154</v>
      </c>
      <c r="E14" s="23">
        <v>12.0</v>
      </c>
      <c r="F14" s="23">
        <v>94.0</v>
      </c>
      <c r="G14" s="23">
        <v>1283.0</v>
      </c>
      <c r="H14" s="24">
        <f t="shared" si="1"/>
        <v>106.9166667</v>
      </c>
      <c r="I14" s="23">
        <v>13.6</v>
      </c>
      <c r="J14" s="23">
        <v>10.0</v>
      </c>
      <c r="K14" s="23">
        <v>1.0</v>
      </c>
      <c r="L14" s="23">
        <v>10.0</v>
      </c>
      <c r="M14" s="23">
        <v>10.0</v>
      </c>
      <c r="N14" s="23">
        <v>0.0</v>
      </c>
      <c r="O14" s="23">
        <v>0.0</v>
      </c>
      <c r="P14" s="25">
        <f t="shared" si="2"/>
        <v>19.69166667</v>
      </c>
      <c r="Q14" s="26">
        <v>44.0</v>
      </c>
      <c r="R14" s="26">
        <v>47.0</v>
      </c>
      <c r="S14" s="26">
        <v>44.0</v>
      </c>
      <c r="T14" s="23">
        <v>41.0</v>
      </c>
      <c r="U14" s="25">
        <v>21.643835616438356</v>
      </c>
      <c r="V14" s="23">
        <v>70.0</v>
      </c>
      <c r="W14" s="23">
        <v>20.0</v>
      </c>
    </row>
    <row r="15">
      <c r="A15" s="23" t="s">
        <v>155</v>
      </c>
      <c r="B15" s="23" t="s">
        <v>101</v>
      </c>
      <c r="C15" s="23">
        <v>71.0</v>
      </c>
      <c r="D15" s="23" t="s">
        <v>79</v>
      </c>
      <c r="E15" s="23">
        <v>13.0</v>
      </c>
      <c r="F15" s="23">
        <v>62.0</v>
      </c>
      <c r="G15" s="23">
        <v>807.0</v>
      </c>
      <c r="H15" s="24">
        <f t="shared" si="1"/>
        <v>62.07692308</v>
      </c>
      <c r="I15" s="23">
        <v>13.0</v>
      </c>
      <c r="J15" s="23">
        <v>7.0</v>
      </c>
      <c r="K15" s="23">
        <v>1.0</v>
      </c>
      <c r="L15" s="23">
        <v>15.0</v>
      </c>
      <c r="M15" s="23">
        <v>15.0</v>
      </c>
      <c r="N15" s="23">
        <v>0.0</v>
      </c>
      <c r="O15" s="23">
        <v>2.0</v>
      </c>
      <c r="P15" s="25">
        <f t="shared" si="2"/>
        <v>11.63076923</v>
      </c>
      <c r="Q15" s="26">
        <v>26.0</v>
      </c>
      <c r="R15" s="26">
        <v>21.0</v>
      </c>
      <c r="S15" s="26">
        <v>22.0</v>
      </c>
      <c r="T15" s="23">
        <v>31.0</v>
      </c>
      <c r="U15" s="25">
        <v>24.980821917808218</v>
      </c>
      <c r="V15" s="23">
        <v>72.0</v>
      </c>
      <c r="W15" s="23" t="s">
        <v>70</v>
      </c>
    </row>
    <row r="16">
      <c r="A16" s="23" t="s">
        <v>156</v>
      </c>
      <c r="B16" s="23" t="s">
        <v>157</v>
      </c>
      <c r="C16" s="23">
        <v>88.0</v>
      </c>
      <c r="D16" s="23" t="s">
        <v>29</v>
      </c>
      <c r="E16" s="23">
        <v>12.0</v>
      </c>
      <c r="F16" s="23">
        <v>82.0</v>
      </c>
      <c r="G16" s="23">
        <v>1474.0</v>
      </c>
      <c r="H16" s="24">
        <f t="shared" si="1"/>
        <v>122.8333333</v>
      </c>
      <c r="I16" s="23">
        <v>18.0</v>
      </c>
      <c r="J16" s="23">
        <v>8.0</v>
      </c>
      <c r="K16" s="23">
        <v>0.0</v>
      </c>
      <c r="L16" s="23">
        <v>0.0</v>
      </c>
      <c r="M16" s="23">
        <v>0.0</v>
      </c>
      <c r="N16" s="23">
        <v>0.0</v>
      </c>
      <c r="O16" s="23">
        <v>1.0</v>
      </c>
      <c r="P16" s="25">
        <f t="shared" si="2"/>
        <v>19.53333333</v>
      </c>
      <c r="Q16" s="26">
        <v>30.0</v>
      </c>
      <c r="R16" s="26">
        <v>36.0</v>
      </c>
      <c r="S16" s="26">
        <v>42.0</v>
      </c>
      <c r="T16" s="23">
        <v>32.0</v>
      </c>
      <c r="U16" s="25">
        <v>23.18082191780822</v>
      </c>
      <c r="V16" s="23">
        <v>75.0</v>
      </c>
      <c r="W16" s="23">
        <v>20.5</v>
      </c>
    </row>
    <row r="17">
      <c r="A17" s="23" t="s">
        <v>158</v>
      </c>
      <c r="B17" s="23" t="s">
        <v>91</v>
      </c>
      <c r="C17" s="23">
        <v>99.0</v>
      </c>
      <c r="D17" s="23" t="s">
        <v>111</v>
      </c>
      <c r="E17" s="23">
        <v>11.0</v>
      </c>
      <c r="F17" s="23">
        <v>93.0</v>
      </c>
      <c r="G17" s="23">
        <v>1286.0</v>
      </c>
      <c r="H17" s="24">
        <f t="shared" si="1"/>
        <v>116.9090909</v>
      </c>
      <c r="I17" s="23">
        <v>13.8</v>
      </c>
      <c r="J17" s="23">
        <v>6.0</v>
      </c>
      <c r="K17" s="23">
        <v>3.0</v>
      </c>
      <c r="L17" s="23">
        <v>39.0</v>
      </c>
      <c r="M17" s="23">
        <v>13.0</v>
      </c>
      <c r="N17" s="23">
        <v>0.0</v>
      </c>
      <c r="O17" s="23">
        <v>0.0</v>
      </c>
      <c r="P17" s="25">
        <f t="shared" si="2"/>
        <v>19.54545455</v>
      </c>
      <c r="Q17" s="26">
        <v>27.0</v>
      </c>
      <c r="R17" s="26">
        <v>20.0</v>
      </c>
      <c r="S17" s="26">
        <v>26.0</v>
      </c>
      <c r="T17" s="23">
        <v>27.0</v>
      </c>
      <c r="U17" s="25">
        <v>21.383561643835616</v>
      </c>
      <c r="V17" s="23">
        <v>74.0</v>
      </c>
      <c r="W17" s="23">
        <v>18.7</v>
      </c>
    </row>
    <row r="18">
      <c r="A18" s="23" t="s">
        <v>159</v>
      </c>
      <c r="B18" s="23" t="s">
        <v>160</v>
      </c>
      <c r="C18" s="23">
        <v>105.0</v>
      </c>
      <c r="D18" s="23" t="s">
        <v>38</v>
      </c>
      <c r="E18" s="23">
        <v>10.0</v>
      </c>
      <c r="F18" s="23">
        <v>49.0</v>
      </c>
      <c r="G18" s="23">
        <v>803.0</v>
      </c>
      <c r="H18" s="24">
        <f t="shared" si="1"/>
        <v>80.3</v>
      </c>
      <c r="I18" s="23">
        <v>16.4</v>
      </c>
      <c r="J18" s="23">
        <v>9.0</v>
      </c>
      <c r="K18" s="23">
        <v>3.0</v>
      </c>
      <c r="L18" s="23">
        <v>40.0</v>
      </c>
      <c r="M18" s="23">
        <v>13.3</v>
      </c>
      <c r="N18" s="23">
        <v>0.0</v>
      </c>
      <c r="O18" s="23">
        <v>0.0</v>
      </c>
      <c r="P18" s="25">
        <f t="shared" si="2"/>
        <v>16.28</v>
      </c>
      <c r="Q18" s="26">
        <v>20.0</v>
      </c>
      <c r="R18" s="26">
        <v>30.0</v>
      </c>
      <c r="S18" s="26">
        <v>28.999999999999996</v>
      </c>
      <c r="T18" s="23">
        <v>17.0</v>
      </c>
      <c r="U18" s="25">
        <v>23.09041095890411</v>
      </c>
      <c r="V18" s="23">
        <v>73.0</v>
      </c>
      <c r="W18" s="23" t="s">
        <v>70</v>
      </c>
    </row>
    <row r="19">
      <c r="A19" s="23" t="s">
        <v>161</v>
      </c>
      <c r="B19" s="23" t="s">
        <v>162</v>
      </c>
      <c r="C19" s="23">
        <v>125.0</v>
      </c>
      <c r="D19" s="23" t="s">
        <v>83</v>
      </c>
      <c r="E19" s="23">
        <v>11.0</v>
      </c>
      <c r="F19" s="23">
        <v>48.0</v>
      </c>
      <c r="G19" s="23">
        <v>705.0</v>
      </c>
      <c r="H19" s="24">
        <f t="shared" si="1"/>
        <v>64.09090909</v>
      </c>
      <c r="I19" s="23">
        <v>14.7</v>
      </c>
      <c r="J19" s="23">
        <v>4.0</v>
      </c>
      <c r="K19" s="23">
        <v>10.0</v>
      </c>
      <c r="L19" s="23">
        <v>138.0</v>
      </c>
      <c r="M19" s="23">
        <v>13.8</v>
      </c>
      <c r="N19" s="23">
        <v>2.0</v>
      </c>
      <c r="O19" s="23">
        <v>0.0</v>
      </c>
      <c r="P19" s="25">
        <f t="shared" si="2"/>
        <v>13.11818182</v>
      </c>
      <c r="Q19" s="26">
        <v>23.0</v>
      </c>
      <c r="R19" s="26">
        <v>26.0</v>
      </c>
      <c r="S19" s="26">
        <v>25.0</v>
      </c>
      <c r="T19" s="23">
        <v>25.0</v>
      </c>
      <c r="U19" s="25">
        <v>22.27123287671233</v>
      </c>
      <c r="V19" s="23">
        <v>75.0</v>
      </c>
      <c r="W19" s="23">
        <v>20.6</v>
      </c>
    </row>
    <row r="20">
      <c r="A20" s="23" t="s">
        <v>163</v>
      </c>
      <c r="B20" s="23" t="s">
        <v>164</v>
      </c>
      <c r="C20" s="23">
        <v>132.0</v>
      </c>
      <c r="D20" s="23" t="s">
        <v>105</v>
      </c>
      <c r="E20" s="23">
        <v>11.0</v>
      </c>
      <c r="F20" s="23">
        <v>80.0</v>
      </c>
      <c r="G20" s="23">
        <v>1109.0</v>
      </c>
      <c r="H20" s="24">
        <f t="shared" si="1"/>
        <v>100.8181818</v>
      </c>
      <c r="I20" s="23">
        <v>13.9</v>
      </c>
      <c r="J20" s="23">
        <v>11.0</v>
      </c>
      <c r="K20" s="23">
        <v>1.0</v>
      </c>
      <c r="L20" s="23">
        <v>4.0</v>
      </c>
      <c r="M20" s="23">
        <v>4.0</v>
      </c>
      <c r="N20" s="23">
        <v>0.0</v>
      </c>
      <c r="O20" s="23">
        <v>0.0</v>
      </c>
      <c r="P20" s="25">
        <f t="shared" si="2"/>
        <v>19.75454545</v>
      </c>
      <c r="Q20" s="26">
        <v>24.0</v>
      </c>
      <c r="R20" s="26">
        <v>34.0</v>
      </c>
      <c r="S20" s="26">
        <v>31.0</v>
      </c>
      <c r="T20" s="23">
        <v>44.0</v>
      </c>
      <c r="U20" s="25">
        <v>22.054794520547944</v>
      </c>
      <c r="V20" s="23">
        <v>74.0</v>
      </c>
      <c r="W20" s="23">
        <v>19.4</v>
      </c>
    </row>
    <row r="21">
      <c r="A21" s="23" t="s">
        <v>165</v>
      </c>
      <c r="B21" s="23" t="s">
        <v>166</v>
      </c>
      <c r="C21" s="23">
        <v>138.0</v>
      </c>
      <c r="D21" s="23" t="s">
        <v>52</v>
      </c>
      <c r="E21" s="23">
        <v>12.0</v>
      </c>
      <c r="F21" s="23">
        <v>74.0</v>
      </c>
      <c r="G21" s="23">
        <v>1149.0</v>
      </c>
      <c r="H21" s="24">
        <f t="shared" si="1"/>
        <v>95.75</v>
      </c>
      <c r="I21" s="23">
        <v>15.5</v>
      </c>
      <c r="J21" s="23">
        <v>8.0</v>
      </c>
      <c r="K21" s="23">
        <v>1.0</v>
      </c>
      <c r="L21" s="23">
        <v>69.0</v>
      </c>
      <c r="M21" s="23">
        <v>69.0</v>
      </c>
      <c r="N21" s="23">
        <v>1.0</v>
      </c>
      <c r="O21" s="23">
        <v>1.0</v>
      </c>
      <c r="P21" s="25">
        <f t="shared" si="2"/>
        <v>17.56666667</v>
      </c>
      <c r="Q21" s="26">
        <v>30.0</v>
      </c>
      <c r="R21" s="26">
        <v>33.0</v>
      </c>
      <c r="S21" s="26">
        <v>34.0</v>
      </c>
      <c r="T21" s="23">
        <v>21.0</v>
      </c>
      <c r="U21" s="25">
        <v>23.112328767123287</v>
      </c>
      <c r="V21" s="23">
        <v>69.0</v>
      </c>
      <c r="W21" s="23">
        <v>21.5</v>
      </c>
    </row>
    <row r="22">
      <c r="A22" s="23" t="s">
        <v>167</v>
      </c>
      <c r="B22" s="23" t="s">
        <v>168</v>
      </c>
      <c r="C22" s="23">
        <v>148.0</v>
      </c>
      <c r="D22" s="23" t="s">
        <v>66</v>
      </c>
      <c r="E22" s="23">
        <v>12.0</v>
      </c>
      <c r="F22" s="23">
        <v>77.0</v>
      </c>
      <c r="G22" s="23">
        <v>1117.0</v>
      </c>
      <c r="H22" s="24">
        <f t="shared" si="1"/>
        <v>93.08333333</v>
      </c>
      <c r="I22" s="23">
        <v>14.5</v>
      </c>
      <c r="J22" s="23">
        <v>7.0</v>
      </c>
      <c r="K22" s="23">
        <v>21.0</v>
      </c>
      <c r="L22" s="23">
        <v>130.0</v>
      </c>
      <c r="M22" s="23">
        <v>6.2</v>
      </c>
      <c r="N22" s="23">
        <v>0.0</v>
      </c>
      <c r="O22" s="23">
        <v>0.0</v>
      </c>
      <c r="P22" s="25">
        <f t="shared" si="2"/>
        <v>17.1</v>
      </c>
      <c r="Q22" s="26">
        <v>30.0</v>
      </c>
      <c r="R22" s="26">
        <v>35.0</v>
      </c>
      <c r="S22" s="26">
        <v>35.0</v>
      </c>
      <c r="T22" s="23">
        <v>31.0</v>
      </c>
      <c r="U22" s="25">
        <v>22.246575342465754</v>
      </c>
      <c r="V22" s="23">
        <v>72.0</v>
      </c>
      <c r="W22" s="23">
        <v>19.6</v>
      </c>
    </row>
    <row r="23">
      <c r="A23" s="23" t="s">
        <v>169</v>
      </c>
      <c r="B23" s="23" t="s">
        <v>170</v>
      </c>
      <c r="C23" s="23">
        <v>162.0</v>
      </c>
      <c r="D23" s="23" t="s">
        <v>26</v>
      </c>
      <c r="E23" s="23">
        <v>1.0</v>
      </c>
      <c r="F23" s="23">
        <v>10.0</v>
      </c>
      <c r="G23" s="23">
        <v>124.0</v>
      </c>
      <c r="H23" s="24">
        <f t="shared" si="1"/>
        <v>124</v>
      </c>
      <c r="I23" s="23">
        <v>12.4</v>
      </c>
      <c r="J23" s="23">
        <v>1.0</v>
      </c>
      <c r="K23" s="23">
        <v>3.0</v>
      </c>
      <c r="L23" s="23">
        <v>19.0</v>
      </c>
      <c r="M23" s="23">
        <v>6.3</v>
      </c>
      <c r="N23" s="23">
        <v>1.0</v>
      </c>
      <c r="O23" s="23">
        <v>1.0</v>
      </c>
      <c r="P23" s="25">
        <f t="shared" si="2"/>
        <v>29.3</v>
      </c>
      <c r="Q23" s="26">
        <v>28.999999999999996</v>
      </c>
      <c r="R23" s="26">
        <v>33.0</v>
      </c>
      <c r="S23" s="26">
        <v>31.0</v>
      </c>
      <c r="T23" s="23">
        <v>1.0</v>
      </c>
      <c r="U23" s="25">
        <v>23.13972602739726</v>
      </c>
      <c r="V23" s="23">
        <v>70.0</v>
      </c>
      <c r="W23" s="23" t="s">
        <v>70</v>
      </c>
    </row>
    <row r="24">
      <c r="A24" s="23" t="s">
        <v>171</v>
      </c>
      <c r="B24" s="23" t="s">
        <v>172</v>
      </c>
      <c r="C24" s="23">
        <v>163.0</v>
      </c>
      <c r="D24" s="23" t="s">
        <v>113</v>
      </c>
      <c r="E24" s="23">
        <v>11.0</v>
      </c>
      <c r="F24" s="23">
        <v>59.0</v>
      </c>
      <c r="G24" s="23">
        <v>739.0</v>
      </c>
      <c r="H24" s="24">
        <f t="shared" si="1"/>
        <v>67.18181818</v>
      </c>
      <c r="I24" s="23">
        <v>12.5</v>
      </c>
      <c r="J24" s="23">
        <v>10.0</v>
      </c>
      <c r="K24" s="23">
        <v>0.0</v>
      </c>
      <c r="L24" s="23">
        <v>0.0</v>
      </c>
      <c r="M24" s="23">
        <v>0.0</v>
      </c>
      <c r="N24" s="23">
        <v>0.0</v>
      </c>
      <c r="O24" s="23">
        <v>1.0</v>
      </c>
      <c r="P24" s="25">
        <f t="shared" si="2"/>
        <v>14.67272727</v>
      </c>
      <c r="Q24" s="26">
        <v>31.0</v>
      </c>
      <c r="R24" s="26">
        <v>47.0</v>
      </c>
      <c r="S24" s="26">
        <v>38.0</v>
      </c>
      <c r="T24" s="23">
        <v>43.0</v>
      </c>
      <c r="U24" s="25">
        <v>22.87945205479452</v>
      </c>
      <c r="V24" s="23">
        <v>71.0</v>
      </c>
      <c r="W24" s="23" t="s">
        <v>70</v>
      </c>
    </row>
    <row r="25">
      <c r="A25" s="23" t="s">
        <v>173</v>
      </c>
      <c r="B25" s="23" t="s">
        <v>174</v>
      </c>
      <c r="C25" s="23">
        <v>191.0</v>
      </c>
      <c r="D25" s="23" t="s">
        <v>35</v>
      </c>
      <c r="E25" s="23">
        <v>9.0</v>
      </c>
      <c r="F25" s="23">
        <v>37.0</v>
      </c>
      <c r="G25" s="23">
        <v>695.0</v>
      </c>
      <c r="H25" s="24">
        <f t="shared" si="1"/>
        <v>77.22222222</v>
      </c>
      <c r="I25" s="23">
        <v>18.8</v>
      </c>
      <c r="J25" s="23">
        <v>6.0</v>
      </c>
      <c r="K25" s="23">
        <v>1.0</v>
      </c>
      <c r="L25" s="23">
        <v>-3.0</v>
      </c>
      <c r="M25" s="23">
        <v>-3.0</v>
      </c>
      <c r="N25" s="23">
        <v>0.0</v>
      </c>
      <c r="O25" s="23">
        <v>0.0</v>
      </c>
      <c r="P25" s="25">
        <f t="shared" si="2"/>
        <v>13.74444444</v>
      </c>
      <c r="Q25" s="26">
        <v>22.0</v>
      </c>
      <c r="R25" s="26">
        <v>32.0</v>
      </c>
      <c r="S25" s="26">
        <v>31.0</v>
      </c>
      <c r="T25" s="23">
        <v>3.0</v>
      </c>
      <c r="U25" s="25">
        <v>23.172602739726027</v>
      </c>
      <c r="V25" s="23">
        <v>72.0</v>
      </c>
      <c r="W25" s="23" t="s">
        <v>70</v>
      </c>
    </row>
    <row r="26">
      <c r="A26" s="23" t="s">
        <v>175</v>
      </c>
      <c r="B26" s="23" t="s">
        <v>28</v>
      </c>
      <c r="C26" s="23">
        <v>202.0</v>
      </c>
      <c r="D26" s="23" t="s">
        <v>111</v>
      </c>
      <c r="E26" s="23">
        <v>11.0</v>
      </c>
      <c r="F26" s="23">
        <v>35.0</v>
      </c>
      <c r="G26" s="23">
        <v>400.0</v>
      </c>
      <c r="H26" s="24">
        <f t="shared" si="1"/>
        <v>36.36363636</v>
      </c>
      <c r="I26" s="23">
        <v>11.4</v>
      </c>
      <c r="J26" s="23">
        <v>2.0</v>
      </c>
      <c r="K26" s="23">
        <v>1.0</v>
      </c>
      <c r="L26" s="23">
        <v>2.0</v>
      </c>
      <c r="M26" s="23">
        <v>2.0</v>
      </c>
      <c r="N26" s="23">
        <v>0.0</v>
      </c>
      <c r="O26" s="23">
        <v>0.0</v>
      </c>
      <c r="P26" s="25">
        <f t="shared" si="2"/>
        <v>6.336363636</v>
      </c>
      <c r="Q26" s="26">
        <v>15.0</v>
      </c>
      <c r="R26" s="26">
        <v>7.000000000000001</v>
      </c>
      <c r="S26" s="26">
        <v>10.0</v>
      </c>
      <c r="T26" s="23">
        <v>27.0</v>
      </c>
      <c r="U26" s="25">
        <v>22.123287671232877</v>
      </c>
      <c r="V26" s="23">
        <v>73.0</v>
      </c>
      <c r="W26" s="23" t="s">
        <v>70</v>
      </c>
    </row>
    <row r="27">
      <c r="A27" s="23" t="s">
        <v>176</v>
      </c>
      <c r="B27" s="23" t="s">
        <v>177</v>
      </c>
      <c r="C27" s="23">
        <v>229.0</v>
      </c>
      <c r="D27" s="23" t="s">
        <v>95</v>
      </c>
      <c r="E27" s="23">
        <v>10.0</v>
      </c>
      <c r="F27" s="23">
        <v>56.0</v>
      </c>
      <c r="G27" s="23">
        <v>619.0</v>
      </c>
      <c r="H27" s="24">
        <f t="shared" si="1"/>
        <v>61.9</v>
      </c>
      <c r="I27" s="23">
        <v>11.1</v>
      </c>
      <c r="J27" s="23">
        <v>3.0</v>
      </c>
      <c r="K27" s="23">
        <v>9.0</v>
      </c>
      <c r="L27" s="23">
        <v>51.0</v>
      </c>
      <c r="M27" s="23">
        <v>5.7</v>
      </c>
      <c r="N27" s="23">
        <v>0.0</v>
      </c>
      <c r="O27" s="23">
        <v>1.0</v>
      </c>
      <c r="P27" s="25">
        <f t="shared" si="2"/>
        <v>11.1</v>
      </c>
      <c r="Q27" s="26">
        <v>32.0</v>
      </c>
      <c r="R27" s="26">
        <v>43.0</v>
      </c>
      <c r="S27" s="26">
        <v>39.0</v>
      </c>
      <c r="T27" s="23">
        <v>0.0</v>
      </c>
      <c r="U27" s="25">
        <v>22.96164383561644</v>
      </c>
      <c r="V27" s="23">
        <v>71.0</v>
      </c>
      <c r="W27" s="23" t="s">
        <v>70</v>
      </c>
    </row>
    <row r="28">
      <c r="A28" s="23" t="s">
        <v>178</v>
      </c>
      <c r="B28" s="23" t="s">
        <v>179</v>
      </c>
      <c r="C28" s="23">
        <v>258.0</v>
      </c>
      <c r="D28" s="23" t="s">
        <v>105</v>
      </c>
      <c r="E28" s="23">
        <v>12.0</v>
      </c>
      <c r="F28" s="23">
        <v>46.0</v>
      </c>
      <c r="G28" s="23">
        <v>898.0</v>
      </c>
      <c r="H28" s="24">
        <f t="shared" si="1"/>
        <v>74.83333333</v>
      </c>
      <c r="I28" s="23">
        <v>19.5</v>
      </c>
      <c r="J28" s="23">
        <v>5.0</v>
      </c>
      <c r="K28" s="23">
        <v>8.0</v>
      </c>
      <c r="L28" s="23">
        <v>63.0</v>
      </c>
      <c r="M28" s="23">
        <v>7.9</v>
      </c>
      <c r="N28" s="23">
        <v>1.0</v>
      </c>
      <c r="O28" s="23">
        <v>1.0</v>
      </c>
      <c r="P28" s="25">
        <f t="shared" si="2"/>
        <v>12.75833333</v>
      </c>
      <c r="Q28" s="26">
        <v>21.0</v>
      </c>
      <c r="R28" s="26">
        <v>36.0</v>
      </c>
      <c r="S28" s="26">
        <v>31.0</v>
      </c>
      <c r="T28" s="23">
        <v>44.0</v>
      </c>
      <c r="U28" s="25">
        <v>24.112328767123287</v>
      </c>
      <c r="V28" s="23">
        <v>75.0</v>
      </c>
      <c r="W28" s="23" t="s">
        <v>70</v>
      </c>
    </row>
    <row r="29">
      <c r="A29" s="23" t="s">
        <v>180</v>
      </c>
      <c r="B29" s="23" t="s">
        <v>40</v>
      </c>
      <c r="C29" s="23" t="s">
        <v>181</v>
      </c>
      <c r="D29" s="23" t="s">
        <v>154</v>
      </c>
      <c r="E29" s="23">
        <v>10.0</v>
      </c>
      <c r="F29" s="23">
        <v>46.0</v>
      </c>
      <c r="G29" s="23">
        <v>514.0</v>
      </c>
      <c r="H29" s="24">
        <f t="shared" si="1"/>
        <v>51.4</v>
      </c>
      <c r="I29" s="23">
        <v>11.2</v>
      </c>
      <c r="J29" s="23">
        <v>3.0</v>
      </c>
      <c r="K29" s="23">
        <v>0.0</v>
      </c>
      <c r="L29" s="23">
        <v>0.0</v>
      </c>
      <c r="M29" s="23">
        <v>0.0</v>
      </c>
      <c r="N29" s="23">
        <v>0.0</v>
      </c>
      <c r="O29" s="23">
        <v>0.0</v>
      </c>
      <c r="P29" s="25">
        <f t="shared" si="2"/>
        <v>9.24</v>
      </c>
      <c r="Q29" s="26">
        <v>26.0</v>
      </c>
      <c r="R29" s="26">
        <v>32.0</v>
      </c>
      <c r="S29" s="26">
        <v>28.999999999999996</v>
      </c>
      <c r="T29" s="23">
        <v>41.0</v>
      </c>
      <c r="U29" s="25">
        <v>22.383561643835616</v>
      </c>
      <c r="V29" s="23">
        <v>76.0</v>
      </c>
      <c r="W29" s="23">
        <v>18.7</v>
      </c>
    </row>
    <row r="30">
      <c r="A30" s="23" t="s">
        <v>182</v>
      </c>
      <c r="B30" s="23" t="s">
        <v>183</v>
      </c>
      <c r="C30" s="23" t="s">
        <v>181</v>
      </c>
      <c r="D30" s="23" t="s">
        <v>99</v>
      </c>
      <c r="E30" s="23">
        <v>12.0</v>
      </c>
      <c r="F30" s="23">
        <v>79.0</v>
      </c>
      <c r="G30" s="23">
        <v>1171.0</v>
      </c>
      <c r="H30" s="24">
        <f t="shared" si="1"/>
        <v>97.58333333</v>
      </c>
      <c r="I30" s="23">
        <v>14.8</v>
      </c>
      <c r="J30" s="23">
        <v>7.0</v>
      </c>
      <c r="K30" s="23">
        <v>0.0</v>
      </c>
      <c r="L30" s="23">
        <v>0.0</v>
      </c>
      <c r="M30" s="23">
        <v>0.0</v>
      </c>
      <c r="N30" s="23">
        <v>0.0</v>
      </c>
      <c r="O30" s="23">
        <v>1.0</v>
      </c>
      <c r="P30" s="25">
        <f t="shared" si="2"/>
        <v>16.38333333</v>
      </c>
      <c r="Q30" s="26">
        <v>27.0</v>
      </c>
      <c r="R30" s="26">
        <v>23.0</v>
      </c>
      <c r="S30" s="26">
        <v>26.0</v>
      </c>
      <c r="T30" s="23">
        <v>1.0</v>
      </c>
      <c r="U30" s="25">
        <v>22.731506849315068</v>
      </c>
      <c r="V30" s="23">
        <v>73.0</v>
      </c>
      <c r="W30" s="23">
        <v>22.1</v>
      </c>
    </row>
    <row r="31">
      <c r="A31" s="23" t="s">
        <v>184</v>
      </c>
      <c r="B31" s="23" t="s">
        <v>89</v>
      </c>
      <c r="C31" s="23" t="s">
        <v>181</v>
      </c>
      <c r="D31" s="23" t="s">
        <v>29</v>
      </c>
      <c r="E31" s="23">
        <v>12.0</v>
      </c>
      <c r="F31" s="23">
        <v>76.0</v>
      </c>
      <c r="G31" s="23">
        <v>1028.0</v>
      </c>
      <c r="H31" s="24">
        <f t="shared" si="1"/>
        <v>85.66666667</v>
      </c>
      <c r="I31" s="23">
        <v>13.5</v>
      </c>
      <c r="J31" s="23">
        <v>8.0</v>
      </c>
      <c r="K31" s="23">
        <v>6.0</v>
      </c>
      <c r="L31" s="23">
        <v>40.0</v>
      </c>
      <c r="M31" s="23">
        <v>6.7</v>
      </c>
      <c r="N31" s="23">
        <v>1.0</v>
      </c>
      <c r="O31" s="23">
        <v>1.0</v>
      </c>
      <c r="P31" s="25">
        <f t="shared" si="2"/>
        <v>16.4</v>
      </c>
      <c r="Q31" s="26">
        <v>28.999999999999996</v>
      </c>
      <c r="R31" s="26">
        <v>41.0</v>
      </c>
      <c r="S31" s="26">
        <v>36.0</v>
      </c>
      <c r="T31" s="23">
        <v>32.0</v>
      </c>
      <c r="U31" s="25">
        <v>24.698630136986303</v>
      </c>
      <c r="V31" s="23">
        <v>73.0</v>
      </c>
      <c r="W31" s="23">
        <v>24.0</v>
      </c>
    </row>
    <row r="32">
      <c r="T32" s="27"/>
    </row>
    <row r="33">
      <c r="T33" s="27"/>
    </row>
    <row r="34">
      <c r="T34" s="27"/>
    </row>
    <row r="35">
      <c r="T35" s="27"/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185</v>
      </c>
      <c r="B1" s="29">
        <v>42.0</v>
      </c>
    </row>
    <row r="2">
      <c r="A2" s="28" t="s">
        <v>186</v>
      </c>
      <c r="B2" s="30">
        <v>32.0</v>
      </c>
    </row>
    <row r="3">
      <c r="A3" s="28" t="s">
        <v>187</v>
      </c>
      <c r="B3" s="29">
        <v>39.0</v>
      </c>
    </row>
    <row r="4">
      <c r="A4" s="28" t="s">
        <v>188</v>
      </c>
      <c r="B4" s="29">
        <v>42.0</v>
      </c>
    </row>
    <row r="5">
      <c r="A5" s="28" t="s">
        <v>189</v>
      </c>
      <c r="B5" s="29">
        <v>41.0</v>
      </c>
    </row>
    <row r="6">
      <c r="A6" s="28" t="s">
        <v>190</v>
      </c>
      <c r="B6" s="31">
        <v>28.0</v>
      </c>
    </row>
    <row r="7">
      <c r="A7" s="28" t="s">
        <v>191</v>
      </c>
      <c r="B7" s="32">
        <v>33.0</v>
      </c>
    </row>
    <row r="8">
      <c r="A8" s="28" t="s">
        <v>192</v>
      </c>
      <c r="B8" s="31">
        <v>21.0</v>
      </c>
    </row>
    <row r="9">
      <c r="A9" s="28" t="s">
        <v>193</v>
      </c>
      <c r="B9" s="32">
        <v>33.0</v>
      </c>
    </row>
    <row r="10">
      <c r="A10" s="28" t="s">
        <v>194</v>
      </c>
      <c r="B10" s="29">
        <v>38.0</v>
      </c>
    </row>
    <row r="11">
      <c r="A11" s="28" t="s">
        <v>195</v>
      </c>
      <c r="B11" s="31">
        <v>29.0</v>
      </c>
    </row>
    <row r="12">
      <c r="A12" s="28" t="s">
        <v>196</v>
      </c>
      <c r="B12" s="31">
        <v>20.0</v>
      </c>
    </row>
    <row r="13">
      <c r="A13" s="28" t="s">
        <v>197</v>
      </c>
      <c r="B13" s="31">
        <v>25.0</v>
      </c>
    </row>
    <row r="14">
      <c r="A14" s="28" t="s">
        <v>198</v>
      </c>
      <c r="B14" s="31">
        <v>26.0</v>
      </c>
    </row>
    <row r="15">
      <c r="A15" s="28" t="s">
        <v>199</v>
      </c>
      <c r="B15" s="29">
        <v>38.0</v>
      </c>
    </row>
    <row r="16">
      <c r="A16" s="28" t="s">
        <v>200</v>
      </c>
      <c r="B16" s="31">
        <v>5.0</v>
      </c>
    </row>
    <row r="17">
      <c r="A17" s="28" t="s">
        <v>201</v>
      </c>
      <c r="B17" s="29">
        <v>37.0</v>
      </c>
    </row>
    <row r="18">
      <c r="A18" s="28" t="s">
        <v>202</v>
      </c>
      <c r="B18" s="31">
        <v>21.0</v>
      </c>
    </row>
    <row r="19">
      <c r="A19" s="28" t="s">
        <v>203</v>
      </c>
      <c r="B19" s="30">
        <v>31.0</v>
      </c>
    </row>
    <row r="20">
      <c r="A20" s="28" t="s">
        <v>204</v>
      </c>
      <c r="B20" s="31">
        <v>30.0</v>
      </c>
    </row>
    <row r="21">
      <c r="A21" s="28" t="s">
        <v>205</v>
      </c>
      <c r="B21" s="31">
        <v>23.0</v>
      </c>
    </row>
    <row r="22">
      <c r="A22" s="28" t="s">
        <v>206</v>
      </c>
      <c r="B22" s="31">
        <v>18.0</v>
      </c>
    </row>
    <row r="23">
      <c r="A23" s="28" t="s">
        <v>207</v>
      </c>
      <c r="B23" s="31">
        <v>8.0</v>
      </c>
    </row>
    <row r="24">
      <c r="A24" s="28" t="s">
        <v>208</v>
      </c>
      <c r="B24" s="31">
        <v>20.0</v>
      </c>
    </row>
    <row r="25">
      <c r="A25" s="28" t="s">
        <v>209</v>
      </c>
      <c r="B25" s="29">
        <v>35.0</v>
      </c>
    </row>
    <row r="26">
      <c r="A26" s="28" t="s">
        <v>210</v>
      </c>
      <c r="B26" s="31">
        <v>21.0</v>
      </c>
    </row>
    <row r="27">
      <c r="A27" s="28" t="s">
        <v>211</v>
      </c>
      <c r="B27" s="30">
        <v>32.0</v>
      </c>
    </row>
    <row r="28">
      <c r="A28" s="28" t="s">
        <v>212</v>
      </c>
      <c r="B28" s="31">
        <v>17.0</v>
      </c>
    </row>
    <row r="29">
      <c r="A29" s="28" t="s">
        <v>213</v>
      </c>
      <c r="B29" s="31">
        <v>26.0</v>
      </c>
    </row>
    <row r="30">
      <c r="A30" s="28" t="s">
        <v>214</v>
      </c>
      <c r="B30" s="31">
        <v>25.0</v>
      </c>
    </row>
    <row r="31">
      <c r="A31" s="28" t="s">
        <v>215</v>
      </c>
      <c r="B31" s="31">
        <v>19.0</v>
      </c>
    </row>
    <row r="32">
      <c r="A32" s="28" t="s">
        <v>216</v>
      </c>
      <c r="B32" s="31">
        <v>23.0</v>
      </c>
    </row>
    <row r="33">
      <c r="A33" s="28" t="s">
        <v>217</v>
      </c>
      <c r="B33" s="32">
        <v>33.0</v>
      </c>
    </row>
    <row r="34">
      <c r="A34" s="28" t="s">
        <v>218</v>
      </c>
      <c r="B34" s="31">
        <v>29.0</v>
      </c>
    </row>
    <row r="35">
      <c r="A35" s="28" t="s">
        <v>219</v>
      </c>
      <c r="B35" s="31">
        <v>26.0</v>
      </c>
    </row>
    <row r="36">
      <c r="A36" s="28" t="s">
        <v>220</v>
      </c>
      <c r="B36" s="31">
        <v>26.0</v>
      </c>
    </row>
    <row r="37">
      <c r="A37" s="28" t="s">
        <v>221</v>
      </c>
      <c r="B37" s="31">
        <v>17.0</v>
      </c>
    </row>
    <row r="38">
      <c r="A38" s="28" t="s">
        <v>222</v>
      </c>
      <c r="B38" s="31">
        <v>13.0</v>
      </c>
    </row>
    <row r="39">
      <c r="A39" s="28" t="s">
        <v>223</v>
      </c>
      <c r="B39" s="29">
        <v>46.0</v>
      </c>
    </row>
    <row r="40">
      <c r="A40" s="28" t="s">
        <v>224</v>
      </c>
      <c r="B40" s="29">
        <v>35.0</v>
      </c>
    </row>
    <row r="41">
      <c r="A41" s="28" t="s">
        <v>225</v>
      </c>
      <c r="B41" s="29">
        <v>35.0</v>
      </c>
    </row>
    <row r="42">
      <c r="A42" s="28" t="s">
        <v>226</v>
      </c>
      <c r="B42" s="31">
        <v>25.0</v>
      </c>
    </row>
    <row r="43">
      <c r="A43" s="28" t="s">
        <v>227</v>
      </c>
      <c r="B43" s="31">
        <v>19.0</v>
      </c>
    </row>
    <row r="44">
      <c r="A44" s="28" t="s">
        <v>228</v>
      </c>
      <c r="B44" s="31">
        <v>14.0</v>
      </c>
    </row>
    <row r="45">
      <c r="A45" s="28" t="s">
        <v>229</v>
      </c>
      <c r="B45" s="31">
        <v>28.0</v>
      </c>
    </row>
    <row r="46">
      <c r="A46" s="28" t="s">
        <v>230</v>
      </c>
      <c r="B46" s="31">
        <v>19.0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</hyperlinks>
  <drawing r:id="rId4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3" width="16.75"/>
  </cols>
  <sheetData>
    <row r="1">
      <c r="A1" s="33" t="s">
        <v>0</v>
      </c>
      <c r="B1" s="33" t="s">
        <v>1</v>
      </c>
      <c r="C1" s="34" t="s">
        <v>2</v>
      </c>
      <c r="D1" s="33" t="s">
        <v>3</v>
      </c>
      <c r="E1" s="34" t="s">
        <v>4</v>
      </c>
      <c r="F1" s="34" t="s">
        <v>5</v>
      </c>
      <c r="G1" s="35" t="s">
        <v>6</v>
      </c>
      <c r="H1" s="35" t="s">
        <v>7</v>
      </c>
      <c r="I1" s="33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3" t="s">
        <v>14</v>
      </c>
      <c r="P1" s="11" t="s">
        <v>15</v>
      </c>
      <c r="Q1" s="34" t="s">
        <v>16</v>
      </c>
      <c r="R1" s="34" t="s">
        <v>17</v>
      </c>
      <c r="S1" s="34" t="s">
        <v>18</v>
      </c>
      <c r="T1" s="34" t="s">
        <v>19</v>
      </c>
      <c r="U1" s="33" t="s">
        <v>20</v>
      </c>
      <c r="V1" s="34" t="s">
        <v>21</v>
      </c>
      <c r="W1" s="33" t="s">
        <v>80</v>
      </c>
    </row>
    <row r="2">
      <c r="A2" s="23" t="s">
        <v>231</v>
      </c>
      <c r="B2" s="23" t="s">
        <v>135</v>
      </c>
      <c r="C2" s="23">
        <v>4.0</v>
      </c>
      <c r="D2" s="23" t="s">
        <v>92</v>
      </c>
      <c r="E2" s="23">
        <v>12.0</v>
      </c>
      <c r="F2" s="23">
        <v>67.0</v>
      </c>
      <c r="G2" s="23">
        <v>1211.0</v>
      </c>
      <c r="H2" s="25">
        <v>100.91666666666667</v>
      </c>
      <c r="I2" s="23">
        <v>18.1</v>
      </c>
      <c r="J2" s="23">
        <v>14.0</v>
      </c>
      <c r="K2" s="23">
        <v>2.0</v>
      </c>
      <c r="L2" s="23">
        <v>26.0</v>
      </c>
      <c r="M2" s="23">
        <v>13.0</v>
      </c>
      <c r="N2" s="23">
        <v>1.0</v>
      </c>
      <c r="O2" s="23">
        <v>0.0</v>
      </c>
      <c r="P2" s="25">
        <v>20.599999999999998</v>
      </c>
      <c r="Q2" s="25">
        <v>0.28</v>
      </c>
      <c r="R2" s="25">
        <v>0.58</v>
      </c>
      <c r="S2" s="25">
        <v>0.47</v>
      </c>
      <c r="T2" s="23">
        <v>19.0</v>
      </c>
      <c r="U2" s="23">
        <v>21.8</v>
      </c>
      <c r="V2" s="23">
        <v>75.0</v>
      </c>
      <c r="W2" s="23">
        <v>20.1</v>
      </c>
    </row>
    <row r="3">
      <c r="A3" s="23" t="s">
        <v>232</v>
      </c>
      <c r="B3" s="23" t="s">
        <v>34</v>
      </c>
      <c r="C3" s="23">
        <v>6.0</v>
      </c>
      <c r="D3" s="23" t="s">
        <v>86</v>
      </c>
      <c r="E3" s="23">
        <v>13.0</v>
      </c>
      <c r="F3" s="23">
        <v>89.0</v>
      </c>
      <c r="G3" s="23">
        <v>1569.0</v>
      </c>
      <c r="H3" s="25">
        <v>120.6923076923077</v>
      </c>
      <c r="I3" s="23">
        <v>17.6</v>
      </c>
      <c r="J3" s="23">
        <v>14.0</v>
      </c>
      <c r="K3" s="23">
        <v>1.0</v>
      </c>
      <c r="L3" s="23">
        <v>1.0</v>
      </c>
      <c r="M3" s="23">
        <v>1.0</v>
      </c>
      <c r="N3" s="23">
        <v>0.0</v>
      </c>
      <c r="O3" s="23">
        <v>0.0</v>
      </c>
      <c r="P3" s="25">
        <v>21.96153846153846</v>
      </c>
      <c r="Q3" s="25">
        <v>0.31</v>
      </c>
      <c r="R3" s="25">
        <v>0.32</v>
      </c>
      <c r="S3" s="25">
        <v>0.33</v>
      </c>
      <c r="T3" s="23">
        <v>11.0</v>
      </c>
      <c r="U3" s="23">
        <v>20.9</v>
      </c>
      <c r="V3" s="23">
        <v>72.0</v>
      </c>
      <c r="W3" s="23">
        <v>20.2</v>
      </c>
    </row>
    <row r="4">
      <c r="A4" s="23" t="s">
        <v>233</v>
      </c>
      <c r="B4" s="23" t="s">
        <v>234</v>
      </c>
      <c r="C4" s="23">
        <v>9.0</v>
      </c>
      <c r="D4" s="23" t="s">
        <v>79</v>
      </c>
      <c r="E4" s="23">
        <v>15.0</v>
      </c>
      <c r="F4" s="23">
        <v>92.0</v>
      </c>
      <c r="G4" s="23">
        <v>1640.0</v>
      </c>
      <c r="H4" s="25">
        <v>109.33333333333333</v>
      </c>
      <c r="I4" s="23">
        <v>17.8</v>
      </c>
      <c r="J4" s="23">
        <v>13.0</v>
      </c>
      <c r="K4" s="23">
        <v>2.0</v>
      </c>
      <c r="L4" s="23">
        <v>37.0</v>
      </c>
      <c r="M4" s="23">
        <v>18.5</v>
      </c>
      <c r="N4" s="23">
        <v>1.0</v>
      </c>
      <c r="O4" s="23">
        <v>1.0</v>
      </c>
      <c r="P4" s="25">
        <v>19.71333333333333</v>
      </c>
      <c r="Q4" s="25">
        <v>0.24</v>
      </c>
      <c r="R4" s="25">
        <v>0.34</v>
      </c>
      <c r="S4" s="25">
        <v>0.33</v>
      </c>
      <c r="T4" s="23">
        <v>14.0</v>
      </c>
      <c r="U4" s="23">
        <v>22.0</v>
      </c>
      <c r="V4" s="23">
        <v>75.0</v>
      </c>
      <c r="W4" s="23">
        <v>19.3</v>
      </c>
    </row>
    <row r="5">
      <c r="A5" s="23" t="s">
        <v>235</v>
      </c>
      <c r="B5" s="23" t="s">
        <v>236</v>
      </c>
      <c r="C5" s="23">
        <v>33.0</v>
      </c>
      <c r="D5" s="23" t="s">
        <v>66</v>
      </c>
      <c r="E5" s="23">
        <v>12.0</v>
      </c>
      <c r="F5" s="23">
        <v>50.0</v>
      </c>
      <c r="G5" s="23">
        <v>658.0</v>
      </c>
      <c r="H5" s="25">
        <v>54.833333333333336</v>
      </c>
      <c r="I5" s="23">
        <v>13.2</v>
      </c>
      <c r="J5" s="23">
        <v>11.0</v>
      </c>
      <c r="K5" s="23">
        <v>1.0</v>
      </c>
      <c r="L5" s="23">
        <v>2.0</v>
      </c>
      <c r="M5" s="23">
        <v>2.0</v>
      </c>
      <c r="N5" s="23">
        <v>0.0</v>
      </c>
      <c r="O5" s="23">
        <v>1.0</v>
      </c>
      <c r="P5" s="25">
        <v>12.916666666666666</v>
      </c>
      <c r="Q5" s="25">
        <v>0.22</v>
      </c>
      <c r="R5" s="25">
        <v>0.51</v>
      </c>
      <c r="S5" s="25">
        <v>0.36</v>
      </c>
      <c r="T5" s="23">
        <v>52.0</v>
      </c>
      <c r="U5" s="23">
        <v>21.0</v>
      </c>
      <c r="V5" s="23">
        <v>75.0</v>
      </c>
      <c r="W5" s="23">
        <v>19.3</v>
      </c>
    </row>
    <row r="6">
      <c r="A6" s="23" t="s">
        <v>237</v>
      </c>
      <c r="B6" s="23" t="s">
        <v>62</v>
      </c>
      <c r="C6" s="23">
        <v>28.0</v>
      </c>
      <c r="D6" s="23" t="s">
        <v>154</v>
      </c>
      <c r="E6" s="23">
        <v>12.0</v>
      </c>
      <c r="F6" s="23">
        <v>63.0</v>
      </c>
      <c r="G6" s="23">
        <v>998.0</v>
      </c>
      <c r="H6" s="25">
        <v>83.16666666666667</v>
      </c>
      <c r="I6" s="23">
        <v>15.8</v>
      </c>
      <c r="J6" s="23">
        <v>12.0</v>
      </c>
      <c r="K6" s="23">
        <v>1.0</v>
      </c>
      <c r="L6" s="23">
        <v>7.0</v>
      </c>
      <c r="M6" s="23">
        <v>7.0</v>
      </c>
      <c r="N6" s="23">
        <v>0.0</v>
      </c>
      <c r="O6" s="23">
        <v>2.0</v>
      </c>
      <c r="P6" s="25">
        <v>16.666666666666668</v>
      </c>
      <c r="Q6" s="25">
        <v>0.29</v>
      </c>
      <c r="R6" s="25">
        <v>0.41</v>
      </c>
      <c r="S6" s="25">
        <v>0.39</v>
      </c>
      <c r="T6" s="23">
        <v>13.0</v>
      </c>
      <c r="U6" s="23">
        <v>21.1</v>
      </c>
      <c r="V6" s="23">
        <v>71.0</v>
      </c>
      <c r="W6" s="23">
        <v>18.4</v>
      </c>
    </row>
    <row r="7">
      <c r="A7" s="23" t="s">
        <v>238</v>
      </c>
      <c r="B7" s="23" t="s">
        <v>150</v>
      </c>
      <c r="C7" s="23">
        <v>34.0</v>
      </c>
      <c r="D7" s="23" t="s">
        <v>73</v>
      </c>
      <c r="E7" s="23">
        <v>15.0</v>
      </c>
      <c r="F7" s="23">
        <v>58.0</v>
      </c>
      <c r="G7" s="23">
        <v>762.0</v>
      </c>
      <c r="H7" s="25">
        <v>50.8</v>
      </c>
      <c r="I7" s="23">
        <v>13.1</v>
      </c>
      <c r="J7" s="23">
        <v>7.0</v>
      </c>
      <c r="K7" s="23">
        <v>7.0</v>
      </c>
      <c r="L7" s="23">
        <v>134.0</v>
      </c>
      <c r="M7" s="23">
        <v>19.1</v>
      </c>
      <c r="N7" s="23">
        <v>2.0</v>
      </c>
      <c r="O7" s="23">
        <v>3.0</v>
      </c>
      <c r="P7" s="25">
        <v>11.106666666666666</v>
      </c>
      <c r="Q7" s="25">
        <v>0.17</v>
      </c>
      <c r="R7" s="25">
        <v>0.23</v>
      </c>
      <c r="S7" s="25">
        <v>0.19</v>
      </c>
      <c r="T7" s="23">
        <v>40.0</v>
      </c>
      <c r="U7" s="23">
        <v>22.5</v>
      </c>
      <c r="V7" s="23">
        <v>72.0</v>
      </c>
      <c r="W7" s="23" t="s">
        <v>70</v>
      </c>
    </row>
    <row r="8">
      <c r="A8" s="23" t="s">
        <v>239</v>
      </c>
      <c r="B8" s="23" t="s">
        <v>62</v>
      </c>
      <c r="C8" s="23">
        <v>52.0</v>
      </c>
      <c r="D8" s="23" t="s">
        <v>44</v>
      </c>
      <c r="E8" s="23">
        <v>14.0</v>
      </c>
      <c r="F8" s="23">
        <v>55.0</v>
      </c>
      <c r="G8" s="23">
        <v>845.0</v>
      </c>
      <c r="H8" s="25">
        <v>60.357142857142854</v>
      </c>
      <c r="I8" s="23">
        <v>15.4</v>
      </c>
      <c r="J8" s="23">
        <v>11.0</v>
      </c>
      <c r="K8" s="23">
        <v>2.0</v>
      </c>
      <c r="L8" s="23">
        <v>1.0</v>
      </c>
      <c r="M8" s="23">
        <v>0.5</v>
      </c>
      <c r="N8" s="23">
        <v>0.0</v>
      </c>
      <c r="O8" s="23">
        <v>1.0</v>
      </c>
      <c r="P8" s="25">
        <v>12.578571428571427</v>
      </c>
      <c r="Q8" s="25">
        <v>0.17</v>
      </c>
      <c r="R8" s="25">
        <v>0.44</v>
      </c>
      <c r="S8" s="25">
        <v>0.32</v>
      </c>
      <c r="T8" s="23">
        <v>3.0</v>
      </c>
      <c r="U8" s="23">
        <v>22.6</v>
      </c>
      <c r="V8" s="23">
        <v>74.0</v>
      </c>
      <c r="W8" s="23">
        <v>21.9</v>
      </c>
    </row>
    <row r="9">
      <c r="A9" s="23" t="s">
        <v>240</v>
      </c>
      <c r="B9" s="23" t="s">
        <v>34</v>
      </c>
      <c r="C9" s="23">
        <v>23.0</v>
      </c>
      <c r="D9" s="23" t="s">
        <v>47</v>
      </c>
      <c r="E9" s="23">
        <v>13.0</v>
      </c>
      <c r="F9" s="23">
        <v>68.0</v>
      </c>
      <c r="G9" s="23">
        <v>1177.0</v>
      </c>
      <c r="H9" s="25">
        <v>90.53846153846153</v>
      </c>
      <c r="I9" s="23">
        <v>17.3</v>
      </c>
      <c r="J9" s="23">
        <v>17.0</v>
      </c>
      <c r="K9" s="23">
        <v>1.0</v>
      </c>
      <c r="L9" s="23">
        <v>-6.0</v>
      </c>
      <c r="M9" s="23">
        <v>-6.0</v>
      </c>
      <c r="N9" s="23">
        <v>0.0</v>
      </c>
      <c r="O9" s="23">
        <v>0.0</v>
      </c>
      <c r="P9" s="25">
        <v>19.46923076923077</v>
      </c>
      <c r="Q9" s="25">
        <v>0.24</v>
      </c>
      <c r="R9" s="25">
        <v>0.39</v>
      </c>
      <c r="S9" s="25">
        <v>0.32</v>
      </c>
      <c r="T9" s="23">
        <v>36.0</v>
      </c>
      <c r="U9" s="23">
        <v>21.6</v>
      </c>
      <c r="V9" s="23">
        <v>76.0</v>
      </c>
      <c r="W9" s="23">
        <v>20.9</v>
      </c>
    </row>
    <row r="10">
      <c r="A10" s="23" t="s">
        <v>241</v>
      </c>
      <c r="B10" s="23" t="s">
        <v>60</v>
      </c>
      <c r="C10" s="23">
        <v>32.0</v>
      </c>
      <c r="D10" s="23" t="s">
        <v>99</v>
      </c>
      <c r="E10" s="23">
        <v>12.0</v>
      </c>
      <c r="F10" s="23">
        <v>71.0</v>
      </c>
      <c r="G10" s="23">
        <v>1255.0</v>
      </c>
      <c r="H10" s="25">
        <v>104.58333333333333</v>
      </c>
      <c r="I10" s="23">
        <v>17.7</v>
      </c>
      <c r="J10" s="23">
        <v>7.0</v>
      </c>
      <c r="K10" s="23">
        <v>9.0</v>
      </c>
      <c r="L10" s="23">
        <v>-9.0</v>
      </c>
      <c r="M10" s="23">
        <v>-1.0</v>
      </c>
      <c r="N10" s="23">
        <v>0.0</v>
      </c>
      <c r="O10" s="23">
        <v>0.0</v>
      </c>
      <c r="P10" s="25">
        <v>16.841666666666665</v>
      </c>
      <c r="Q10" s="25">
        <v>0.25</v>
      </c>
      <c r="R10" s="25">
        <v>0.33</v>
      </c>
      <c r="S10" s="25">
        <v>0.35</v>
      </c>
      <c r="T10" s="23">
        <v>14.0</v>
      </c>
      <c r="U10" s="23">
        <v>23.3</v>
      </c>
      <c r="V10" s="23">
        <v>73.0</v>
      </c>
      <c r="W10" s="23">
        <v>22.6</v>
      </c>
    </row>
    <row r="11">
      <c r="A11" s="23" t="s">
        <v>242</v>
      </c>
      <c r="B11" s="23" t="s">
        <v>234</v>
      </c>
      <c r="C11" s="23">
        <v>37.0</v>
      </c>
      <c r="D11" s="23" t="s">
        <v>148</v>
      </c>
      <c r="E11" s="23">
        <v>13.0</v>
      </c>
      <c r="F11" s="23">
        <v>69.0</v>
      </c>
      <c r="G11" s="23">
        <v>1159.0</v>
      </c>
      <c r="H11" s="25">
        <v>89.15384615384616</v>
      </c>
      <c r="I11" s="23">
        <v>16.8</v>
      </c>
      <c r="J11" s="23">
        <v>9.0</v>
      </c>
      <c r="K11" s="23">
        <v>4.0</v>
      </c>
      <c r="L11" s="23">
        <v>32.0</v>
      </c>
      <c r="M11" s="23">
        <v>8.0</v>
      </c>
      <c r="N11" s="23">
        <v>1.0</v>
      </c>
      <c r="O11" s="23">
        <v>0.0</v>
      </c>
      <c r="P11" s="25">
        <v>16.43076923076923</v>
      </c>
      <c r="Q11" s="25">
        <v>0.21</v>
      </c>
      <c r="R11" s="25">
        <v>0.27</v>
      </c>
      <c r="S11" s="25">
        <v>0.26</v>
      </c>
      <c r="T11" s="23">
        <v>10.0</v>
      </c>
      <c r="U11" s="23">
        <v>22.1</v>
      </c>
      <c r="V11" s="23">
        <v>73.0</v>
      </c>
      <c r="W11" s="23">
        <v>19.4</v>
      </c>
    </row>
    <row r="12">
      <c r="A12" s="23" t="s">
        <v>243</v>
      </c>
      <c r="B12" s="23" t="s">
        <v>107</v>
      </c>
      <c r="C12" s="23">
        <v>84.0</v>
      </c>
      <c r="D12" s="23" t="s">
        <v>52</v>
      </c>
      <c r="E12" s="23">
        <v>14.0</v>
      </c>
      <c r="F12" s="23">
        <v>48.0</v>
      </c>
      <c r="G12" s="23">
        <v>789.0</v>
      </c>
      <c r="H12" s="25">
        <v>56.357142857142854</v>
      </c>
      <c r="I12" s="23">
        <v>16.4</v>
      </c>
      <c r="J12" s="23">
        <v>12.0</v>
      </c>
      <c r="K12" s="23">
        <v>1.0</v>
      </c>
      <c r="L12" s="23">
        <v>10.0</v>
      </c>
      <c r="M12" s="23">
        <v>10.0</v>
      </c>
      <c r="N12" s="23">
        <v>0.0</v>
      </c>
      <c r="O12" s="23">
        <v>0.0</v>
      </c>
      <c r="P12" s="25">
        <v>12.564285714285715</v>
      </c>
      <c r="Q12" s="25">
        <v>0.2</v>
      </c>
      <c r="R12" s="25">
        <v>0.54</v>
      </c>
      <c r="S12" s="25">
        <v>0.39</v>
      </c>
      <c r="T12" s="23">
        <v>19.0</v>
      </c>
      <c r="U12" s="23">
        <v>22.9</v>
      </c>
      <c r="V12" s="23">
        <v>71.0</v>
      </c>
      <c r="W12" s="23">
        <v>22.2</v>
      </c>
    </row>
    <row r="13">
      <c r="A13" s="23" t="s">
        <v>244</v>
      </c>
      <c r="B13" s="23" t="s">
        <v>245</v>
      </c>
      <c r="C13" s="23">
        <v>102.0</v>
      </c>
      <c r="D13" s="23" t="s">
        <v>26</v>
      </c>
      <c r="E13" s="23">
        <v>13.0</v>
      </c>
      <c r="F13" s="23">
        <v>81.0</v>
      </c>
      <c r="G13" s="23">
        <v>1383.0</v>
      </c>
      <c r="H13" s="25">
        <v>106.38461538461539</v>
      </c>
      <c r="I13" s="23">
        <v>17.1</v>
      </c>
      <c r="J13" s="23">
        <v>14.0</v>
      </c>
      <c r="K13" s="23">
        <v>0.0</v>
      </c>
      <c r="L13" s="23">
        <v>0.0</v>
      </c>
      <c r="M13" s="23">
        <v>0.0</v>
      </c>
      <c r="N13" s="23">
        <v>0.0</v>
      </c>
      <c r="O13" s="23">
        <v>0.0</v>
      </c>
      <c r="P13" s="25">
        <v>20.215384615384615</v>
      </c>
      <c r="Q13" s="25">
        <v>0.22</v>
      </c>
      <c r="R13" s="25">
        <v>0.31</v>
      </c>
      <c r="S13" s="25">
        <v>0.3</v>
      </c>
      <c r="T13" s="23">
        <v>18.0</v>
      </c>
      <c r="U13" s="23">
        <v>21.3</v>
      </c>
      <c r="V13" s="23">
        <v>74.0</v>
      </c>
      <c r="W13" s="23">
        <v>19.6</v>
      </c>
    </row>
    <row r="14">
      <c r="A14" s="23" t="s">
        <v>246</v>
      </c>
      <c r="B14" s="23" t="s">
        <v>103</v>
      </c>
      <c r="C14" s="23">
        <v>113.0</v>
      </c>
      <c r="D14" s="23" t="s">
        <v>63</v>
      </c>
      <c r="E14" s="23">
        <v>12.0</v>
      </c>
      <c r="F14" s="23">
        <v>58.0</v>
      </c>
      <c r="G14" s="23">
        <v>921.0</v>
      </c>
      <c r="H14" s="25">
        <v>76.75</v>
      </c>
      <c r="I14" s="23">
        <v>15.9</v>
      </c>
      <c r="J14" s="23">
        <v>11.0</v>
      </c>
      <c r="K14" s="23">
        <v>3.0</v>
      </c>
      <c r="L14" s="23">
        <v>29.0</v>
      </c>
      <c r="M14" s="23">
        <v>9.7</v>
      </c>
      <c r="N14" s="23">
        <v>1.0</v>
      </c>
      <c r="O14" s="23">
        <v>0.0</v>
      </c>
      <c r="P14" s="25">
        <v>16.333333333333332</v>
      </c>
      <c r="Q14" s="25">
        <v>0.3</v>
      </c>
      <c r="R14" s="25">
        <v>0.65</v>
      </c>
      <c r="S14" s="25">
        <v>0.5</v>
      </c>
      <c r="T14" s="23">
        <v>17.0</v>
      </c>
      <c r="U14" s="23">
        <v>22.9</v>
      </c>
      <c r="V14" s="23">
        <v>74.0</v>
      </c>
      <c r="W14" s="23">
        <v>21.2</v>
      </c>
    </row>
    <row r="15">
      <c r="A15" s="23" t="s">
        <v>247</v>
      </c>
      <c r="B15" s="23" t="s">
        <v>23</v>
      </c>
      <c r="C15" s="23">
        <v>80.0</v>
      </c>
      <c r="D15" s="23" t="s">
        <v>41</v>
      </c>
      <c r="E15" s="23">
        <v>12.0</v>
      </c>
      <c r="F15" s="23">
        <v>39.0</v>
      </c>
      <c r="G15" s="23">
        <v>798.0</v>
      </c>
      <c r="H15" s="25">
        <v>66.5</v>
      </c>
      <c r="I15" s="23">
        <v>20.5</v>
      </c>
      <c r="J15" s="23">
        <v>8.0</v>
      </c>
      <c r="K15" s="23">
        <v>0.0</v>
      </c>
      <c r="L15" s="23">
        <v>0.0</v>
      </c>
      <c r="M15" s="23">
        <v>0.0</v>
      </c>
      <c r="N15" s="23">
        <v>0.0</v>
      </c>
      <c r="O15" s="23">
        <v>0.0</v>
      </c>
      <c r="P15" s="25">
        <v>12.275</v>
      </c>
      <c r="Q15" s="25">
        <v>0.22</v>
      </c>
      <c r="R15" s="25">
        <v>0.41</v>
      </c>
      <c r="S15" s="25">
        <v>0.35</v>
      </c>
      <c r="T15" s="23">
        <v>17.0</v>
      </c>
      <c r="U15" s="23">
        <v>22.9</v>
      </c>
      <c r="V15" s="23">
        <v>72.0</v>
      </c>
      <c r="W15" s="23">
        <v>22.2</v>
      </c>
    </row>
    <row r="16">
      <c r="A16" s="23" t="s">
        <v>248</v>
      </c>
      <c r="B16" s="23" t="s">
        <v>54</v>
      </c>
      <c r="C16" s="23">
        <v>31.0</v>
      </c>
      <c r="D16" s="23" t="s">
        <v>38</v>
      </c>
      <c r="E16" s="23">
        <v>12.0</v>
      </c>
      <c r="F16" s="23">
        <v>64.0</v>
      </c>
      <c r="G16" s="23">
        <v>970.0</v>
      </c>
      <c r="H16" s="25">
        <v>80.83333333333333</v>
      </c>
      <c r="I16" s="23">
        <v>15.2</v>
      </c>
      <c r="J16" s="23">
        <v>4.0</v>
      </c>
      <c r="K16" s="23">
        <v>3.0</v>
      </c>
      <c r="L16" s="23">
        <v>62.0</v>
      </c>
      <c r="M16" s="23">
        <v>20.7</v>
      </c>
      <c r="N16" s="23">
        <v>2.0</v>
      </c>
      <c r="O16" s="23">
        <v>0.0</v>
      </c>
      <c r="P16" s="25">
        <v>14.266666666666666</v>
      </c>
      <c r="Q16" s="25">
        <v>0.23</v>
      </c>
      <c r="R16" s="25">
        <v>0.2</v>
      </c>
      <c r="S16" s="25">
        <v>0.25</v>
      </c>
      <c r="T16" s="23">
        <v>11.0</v>
      </c>
      <c r="U16" s="23">
        <v>23.7</v>
      </c>
      <c r="V16" s="23">
        <v>73.0</v>
      </c>
      <c r="W16" s="23">
        <v>21.0</v>
      </c>
    </row>
    <row r="17">
      <c r="A17" s="23" t="s">
        <v>249</v>
      </c>
      <c r="B17" s="23" t="s">
        <v>236</v>
      </c>
      <c r="C17" s="23">
        <v>185.0</v>
      </c>
      <c r="D17" s="23" t="s">
        <v>32</v>
      </c>
      <c r="E17" s="23">
        <v>12.0</v>
      </c>
      <c r="F17" s="23">
        <v>43.0</v>
      </c>
      <c r="G17" s="23">
        <v>897.0</v>
      </c>
      <c r="H17" s="25">
        <v>74.75</v>
      </c>
      <c r="I17" s="23">
        <v>20.9</v>
      </c>
      <c r="J17" s="23">
        <v>5.0</v>
      </c>
      <c r="K17" s="23">
        <v>0.0</v>
      </c>
      <c r="L17" s="23">
        <v>0.0</v>
      </c>
      <c r="M17" s="23">
        <v>0.0</v>
      </c>
      <c r="N17" s="23">
        <v>0.0</v>
      </c>
      <c r="O17" s="23">
        <v>0.0</v>
      </c>
      <c r="P17" s="25">
        <v>11.766666666666666</v>
      </c>
      <c r="Q17" s="25">
        <v>0.19</v>
      </c>
      <c r="R17" s="25">
        <v>0.19</v>
      </c>
      <c r="S17" s="25">
        <v>0.23</v>
      </c>
      <c r="T17" s="23">
        <v>12.0</v>
      </c>
      <c r="U17" s="23">
        <v>23.1</v>
      </c>
      <c r="V17" s="23">
        <v>78.0</v>
      </c>
      <c r="W17" s="23">
        <v>21.4</v>
      </c>
    </row>
    <row r="18">
      <c r="A18" s="23" t="s">
        <v>250</v>
      </c>
      <c r="B18" s="23" t="s">
        <v>43</v>
      </c>
      <c r="C18" s="23">
        <v>241.0</v>
      </c>
      <c r="D18" s="23" t="s">
        <v>83</v>
      </c>
      <c r="E18" s="23">
        <v>13.0</v>
      </c>
      <c r="F18" s="23">
        <v>59.0</v>
      </c>
      <c r="G18" s="23">
        <v>1062.0</v>
      </c>
      <c r="H18" s="25">
        <v>81.6923076923077</v>
      </c>
      <c r="I18" s="23">
        <v>18.0</v>
      </c>
      <c r="J18" s="23">
        <v>8.0</v>
      </c>
      <c r="K18" s="23">
        <v>1.0</v>
      </c>
      <c r="L18" s="23">
        <v>10.0</v>
      </c>
      <c r="M18" s="23">
        <v>10.0</v>
      </c>
      <c r="N18" s="23">
        <v>0.0</v>
      </c>
      <c r="O18" s="23">
        <v>0.0</v>
      </c>
      <c r="P18" s="25">
        <v>14.207692307692307</v>
      </c>
      <c r="Q18" s="25">
        <v>0.19</v>
      </c>
      <c r="R18" s="25">
        <v>0.22</v>
      </c>
      <c r="S18" s="25">
        <v>0.23</v>
      </c>
      <c r="T18" s="23">
        <v>8.0</v>
      </c>
      <c r="U18" s="23">
        <v>23.0</v>
      </c>
      <c r="V18" s="23">
        <v>70.0</v>
      </c>
      <c r="W18" s="23">
        <v>19.3</v>
      </c>
    </row>
    <row r="19">
      <c r="A19" s="23" t="s">
        <v>251</v>
      </c>
      <c r="B19" s="23" t="s">
        <v>107</v>
      </c>
      <c r="C19" s="23">
        <v>253.0</v>
      </c>
      <c r="D19" s="23" t="s">
        <v>73</v>
      </c>
      <c r="E19" s="23">
        <v>13.0</v>
      </c>
      <c r="F19" s="23">
        <v>32.0</v>
      </c>
      <c r="G19" s="23">
        <v>499.0</v>
      </c>
      <c r="H19" s="25">
        <v>38.38461538461539</v>
      </c>
      <c r="I19" s="23">
        <v>15.6</v>
      </c>
      <c r="J19" s="23">
        <v>6.0</v>
      </c>
      <c r="K19" s="23">
        <v>0.0</v>
      </c>
      <c r="L19" s="23">
        <v>0.0</v>
      </c>
      <c r="M19" s="23">
        <v>0.0</v>
      </c>
      <c r="N19" s="23">
        <v>0.0</v>
      </c>
      <c r="O19" s="23">
        <v>1.0</v>
      </c>
      <c r="P19" s="25">
        <v>7.684615384615385</v>
      </c>
      <c r="Q19" s="25">
        <v>0.14</v>
      </c>
      <c r="R19" s="25">
        <v>0.28</v>
      </c>
      <c r="S19" s="25">
        <v>0.22</v>
      </c>
      <c r="T19" s="23">
        <v>40.0</v>
      </c>
      <c r="U19" s="23">
        <v>23.5</v>
      </c>
      <c r="V19" s="23">
        <v>75.0</v>
      </c>
      <c r="W19" s="23">
        <v>19.8</v>
      </c>
    </row>
    <row r="20">
      <c r="A20" s="23" t="s">
        <v>252</v>
      </c>
      <c r="B20" s="23" t="s">
        <v>78</v>
      </c>
      <c r="C20" s="23">
        <v>182.0</v>
      </c>
      <c r="D20" s="23" t="s">
        <v>113</v>
      </c>
      <c r="E20" s="23">
        <v>11.0</v>
      </c>
      <c r="F20" s="23">
        <v>31.0</v>
      </c>
      <c r="G20" s="23">
        <v>425.0</v>
      </c>
      <c r="H20" s="25">
        <v>38.63636363636363</v>
      </c>
      <c r="I20" s="23">
        <v>13.7</v>
      </c>
      <c r="J20" s="23">
        <v>8.0</v>
      </c>
      <c r="K20" s="23">
        <v>2.0</v>
      </c>
      <c r="L20" s="23">
        <v>31.0</v>
      </c>
      <c r="M20" s="23">
        <v>15.5</v>
      </c>
      <c r="N20" s="23">
        <v>1.0</v>
      </c>
      <c r="O20" s="23">
        <v>0.0</v>
      </c>
      <c r="P20" s="25">
        <v>10.463636363636363</v>
      </c>
      <c r="Q20" s="25">
        <v>0.2</v>
      </c>
      <c r="R20" s="25">
        <v>0.42</v>
      </c>
      <c r="S20" s="25">
        <v>0.31</v>
      </c>
      <c r="T20" s="23">
        <v>7.0</v>
      </c>
      <c r="U20" s="23">
        <v>24.0</v>
      </c>
      <c r="V20" s="23">
        <v>69.0</v>
      </c>
      <c r="W20" s="23">
        <v>19.3</v>
      </c>
    </row>
    <row r="21">
      <c r="A21" s="23" t="s">
        <v>253</v>
      </c>
      <c r="B21" s="23" t="s">
        <v>254</v>
      </c>
      <c r="C21" s="23">
        <v>100.0</v>
      </c>
      <c r="D21" s="23" t="s">
        <v>69</v>
      </c>
      <c r="E21" s="23">
        <v>13.0</v>
      </c>
      <c r="F21" s="23">
        <v>71.0</v>
      </c>
      <c r="G21" s="23">
        <v>992.0</v>
      </c>
      <c r="H21" s="25">
        <v>76.3076923076923</v>
      </c>
      <c r="I21" s="23">
        <v>14.0</v>
      </c>
      <c r="J21" s="23">
        <v>13.0</v>
      </c>
      <c r="K21" s="23">
        <v>15.0</v>
      </c>
      <c r="L21" s="23">
        <v>117.0</v>
      </c>
      <c r="M21" s="23">
        <v>7.8</v>
      </c>
      <c r="N21" s="23">
        <v>0.0</v>
      </c>
      <c r="O21" s="23">
        <v>0.0</v>
      </c>
      <c r="P21" s="25">
        <v>17.26153846153846</v>
      </c>
      <c r="Q21" s="25">
        <v>0.26</v>
      </c>
      <c r="R21" s="25">
        <v>0.45</v>
      </c>
      <c r="S21" s="25">
        <v>0.37</v>
      </c>
      <c r="T21" s="23">
        <v>19.0</v>
      </c>
      <c r="U21" s="23">
        <v>23.1</v>
      </c>
      <c r="V21" s="23">
        <v>74.0</v>
      </c>
      <c r="W21" s="23">
        <v>21.4</v>
      </c>
    </row>
    <row r="22">
      <c r="A22" s="23" t="s">
        <v>255</v>
      </c>
      <c r="B22" s="23" t="s">
        <v>72</v>
      </c>
      <c r="C22" s="23">
        <v>184.0</v>
      </c>
      <c r="D22" s="23" t="s">
        <v>83</v>
      </c>
      <c r="E22" s="23">
        <v>12.0</v>
      </c>
      <c r="F22" s="23">
        <v>110.0</v>
      </c>
      <c r="G22" s="23">
        <v>1426.0</v>
      </c>
      <c r="H22" s="25">
        <v>118.83333333333333</v>
      </c>
      <c r="I22" s="23">
        <v>13.0</v>
      </c>
      <c r="J22" s="23">
        <v>9.0</v>
      </c>
      <c r="K22" s="23">
        <v>3.0</v>
      </c>
      <c r="L22" s="23">
        <v>7.0</v>
      </c>
      <c r="M22" s="23">
        <v>2.3</v>
      </c>
      <c r="N22" s="23">
        <v>0.0</v>
      </c>
      <c r="O22" s="23">
        <v>0.0</v>
      </c>
      <c r="P22" s="25">
        <v>21.025</v>
      </c>
      <c r="Q22" s="25">
        <v>0.44</v>
      </c>
      <c r="R22" s="25">
        <v>0.47</v>
      </c>
      <c r="S22" s="25">
        <v>0.47</v>
      </c>
      <c r="T22" s="23">
        <v>8.0</v>
      </c>
      <c r="U22" s="23">
        <v>23.4</v>
      </c>
      <c r="V22" s="23">
        <v>69.0</v>
      </c>
      <c r="W22" s="23">
        <v>20.7</v>
      </c>
    </row>
    <row r="23">
      <c r="A23" s="23" t="s">
        <v>256</v>
      </c>
      <c r="B23" s="23" t="s">
        <v>62</v>
      </c>
      <c r="C23" s="23">
        <v>213.0</v>
      </c>
      <c r="D23" s="23" t="s">
        <v>55</v>
      </c>
      <c r="E23" s="23">
        <v>13.0</v>
      </c>
      <c r="F23" s="23">
        <v>50.0</v>
      </c>
      <c r="G23" s="23">
        <v>652.0</v>
      </c>
      <c r="H23" s="25">
        <v>50.15384615384615</v>
      </c>
      <c r="I23" s="23">
        <v>13.0</v>
      </c>
      <c r="J23" s="23">
        <v>1.0</v>
      </c>
      <c r="K23" s="23">
        <v>0.0</v>
      </c>
      <c r="L23" s="23">
        <v>0.0</v>
      </c>
      <c r="M23" s="23">
        <v>0.0</v>
      </c>
      <c r="N23" s="23">
        <v>0.0</v>
      </c>
      <c r="O23" s="23">
        <v>1.0</v>
      </c>
      <c r="P23" s="25">
        <v>7.246153846153846</v>
      </c>
      <c r="Q23" s="25">
        <v>0.2</v>
      </c>
      <c r="R23" s="25">
        <v>0.05</v>
      </c>
      <c r="S23" s="25">
        <v>0.12</v>
      </c>
      <c r="T23" s="23">
        <v>3.0</v>
      </c>
      <c r="U23" s="23">
        <v>23.6</v>
      </c>
      <c r="V23" s="23">
        <v>73.0</v>
      </c>
      <c r="W23" s="23">
        <v>20.9</v>
      </c>
    </row>
    <row r="24">
      <c r="A24" s="23" t="s">
        <v>257</v>
      </c>
      <c r="B24" s="23" t="s">
        <v>97</v>
      </c>
      <c r="C24" s="23">
        <v>156.0</v>
      </c>
      <c r="D24" s="23" t="s">
        <v>111</v>
      </c>
      <c r="E24" s="23">
        <v>12.0</v>
      </c>
      <c r="F24" s="23">
        <v>61.0</v>
      </c>
      <c r="G24" s="23">
        <v>1122.0</v>
      </c>
      <c r="H24" s="25">
        <v>93.5</v>
      </c>
      <c r="I24" s="23">
        <v>18.4</v>
      </c>
      <c r="J24" s="23">
        <v>7.0</v>
      </c>
      <c r="K24" s="23">
        <v>3.0</v>
      </c>
      <c r="L24" s="23">
        <v>17.0</v>
      </c>
      <c r="M24" s="23">
        <v>5.7</v>
      </c>
      <c r="N24" s="23">
        <v>0.0</v>
      </c>
      <c r="O24" s="23">
        <v>1.0</v>
      </c>
      <c r="P24" s="25">
        <v>15.366666666666665</v>
      </c>
      <c r="Q24" s="25">
        <v>0.35</v>
      </c>
      <c r="R24" s="25">
        <v>0.39</v>
      </c>
      <c r="S24" s="25">
        <v>0.42</v>
      </c>
      <c r="T24" s="23">
        <v>2.0</v>
      </c>
      <c r="U24" s="23">
        <v>23.4</v>
      </c>
      <c r="V24" s="23">
        <v>72.0</v>
      </c>
      <c r="W24" s="23">
        <v>20.7</v>
      </c>
    </row>
    <row r="25">
      <c r="A25" s="23" t="s">
        <v>258</v>
      </c>
      <c r="B25" s="23" t="s">
        <v>259</v>
      </c>
      <c r="C25" s="23">
        <v>152.0</v>
      </c>
      <c r="D25" s="23" t="s">
        <v>32</v>
      </c>
      <c r="E25" s="23">
        <v>10.0</v>
      </c>
      <c r="F25" s="23">
        <v>43.0</v>
      </c>
      <c r="G25" s="23">
        <v>564.0</v>
      </c>
      <c r="H25" s="25">
        <v>56.4</v>
      </c>
      <c r="I25" s="23">
        <v>13.1</v>
      </c>
      <c r="J25" s="23">
        <v>6.0</v>
      </c>
      <c r="K25" s="23">
        <v>49.0</v>
      </c>
      <c r="L25" s="23">
        <v>293.0</v>
      </c>
      <c r="M25" s="23">
        <v>6.0</v>
      </c>
      <c r="N25" s="23">
        <v>4.0</v>
      </c>
      <c r="O25" s="23">
        <v>2.0</v>
      </c>
      <c r="P25" s="25">
        <v>16.32</v>
      </c>
      <c r="Q25" s="25">
        <v>0.23</v>
      </c>
      <c r="R25" s="25">
        <v>0.3</v>
      </c>
      <c r="S25" s="25">
        <v>0.27</v>
      </c>
      <c r="T25" s="23">
        <v>12.0</v>
      </c>
      <c r="U25" s="23">
        <v>23.0</v>
      </c>
      <c r="V25" s="23">
        <v>69.0</v>
      </c>
      <c r="W25" s="23">
        <v>19.3</v>
      </c>
    </row>
    <row r="26">
      <c r="A26" s="23" t="s">
        <v>260</v>
      </c>
      <c r="B26" s="23" t="s">
        <v>261</v>
      </c>
      <c r="C26" s="23">
        <v>170.0</v>
      </c>
      <c r="D26" s="23" t="s">
        <v>137</v>
      </c>
      <c r="E26" s="23">
        <v>11.0</v>
      </c>
      <c r="F26" s="23">
        <v>41.0</v>
      </c>
      <c r="G26" s="23">
        <v>721.0</v>
      </c>
      <c r="H26" s="25">
        <v>65.54545454545455</v>
      </c>
      <c r="I26" s="23">
        <v>17.6</v>
      </c>
      <c r="J26" s="23">
        <v>6.0</v>
      </c>
      <c r="K26" s="23">
        <v>0.0</v>
      </c>
      <c r="L26" s="23">
        <v>0.0</v>
      </c>
      <c r="M26" s="23">
        <v>0.0</v>
      </c>
      <c r="N26" s="23">
        <v>0.0</v>
      </c>
      <c r="O26" s="23">
        <v>0.0</v>
      </c>
      <c r="P26" s="25">
        <v>11.69090909090909</v>
      </c>
      <c r="Q26" s="25">
        <v>0.23</v>
      </c>
      <c r="R26" s="25">
        <v>0.39</v>
      </c>
      <c r="S26" s="25">
        <v>0.34</v>
      </c>
      <c r="T26" s="23">
        <v>17.0</v>
      </c>
      <c r="U26" s="23">
        <v>23.4</v>
      </c>
      <c r="V26" s="23">
        <v>73.0</v>
      </c>
      <c r="W26" s="23">
        <v>22.7</v>
      </c>
    </row>
    <row r="27">
      <c r="A27" s="23" t="s">
        <v>262</v>
      </c>
      <c r="B27" s="23" t="s">
        <v>263</v>
      </c>
      <c r="C27" s="23">
        <v>135.0</v>
      </c>
      <c r="D27" s="23" t="s">
        <v>38</v>
      </c>
      <c r="E27" s="23">
        <v>13.0</v>
      </c>
      <c r="F27" s="23">
        <v>88.0</v>
      </c>
      <c r="G27" s="23">
        <v>832.0</v>
      </c>
      <c r="H27" s="25">
        <v>64.0</v>
      </c>
      <c r="I27" s="23">
        <v>9.5</v>
      </c>
      <c r="J27" s="23">
        <v>13.0</v>
      </c>
      <c r="K27" s="23">
        <v>5.0</v>
      </c>
      <c r="L27" s="23">
        <v>26.0</v>
      </c>
      <c r="M27" s="23">
        <v>5.2</v>
      </c>
      <c r="N27" s="23">
        <v>0.0</v>
      </c>
      <c r="O27" s="23">
        <v>1.0</v>
      </c>
      <c r="P27" s="25">
        <v>15.83076923076923</v>
      </c>
      <c r="Q27" s="25">
        <v>0.27</v>
      </c>
      <c r="R27" s="25">
        <v>0.36</v>
      </c>
      <c r="S27" s="25">
        <v>0.28</v>
      </c>
      <c r="T27" s="23">
        <v>11.0</v>
      </c>
      <c r="U27" s="23">
        <v>23.3</v>
      </c>
      <c r="V27" s="23">
        <v>68.0</v>
      </c>
      <c r="W27" s="23">
        <v>18.6</v>
      </c>
    </row>
    <row r="28">
      <c r="A28" s="23" t="s">
        <v>264</v>
      </c>
      <c r="B28" s="23" t="s">
        <v>234</v>
      </c>
      <c r="C28" s="23">
        <v>92.0</v>
      </c>
      <c r="D28" s="23" t="s">
        <v>76</v>
      </c>
      <c r="E28" s="23">
        <v>13.0</v>
      </c>
      <c r="F28" s="23">
        <v>79.0</v>
      </c>
      <c r="G28" s="23">
        <v>1098.0</v>
      </c>
      <c r="H28" s="25">
        <v>84.46153846153847</v>
      </c>
      <c r="I28" s="23">
        <v>13.9</v>
      </c>
      <c r="J28" s="23">
        <v>9.0</v>
      </c>
      <c r="K28" s="23">
        <v>2.0</v>
      </c>
      <c r="L28" s="23">
        <v>2.0</v>
      </c>
      <c r="M28" s="23">
        <v>1.0</v>
      </c>
      <c r="N28" s="23">
        <v>0.0</v>
      </c>
      <c r="O28" s="23">
        <v>0.0</v>
      </c>
      <c r="P28" s="25">
        <v>15.653846153846153</v>
      </c>
      <c r="Q28" s="25">
        <v>0.21</v>
      </c>
      <c r="R28" s="25">
        <v>0.28</v>
      </c>
      <c r="S28" s="25">
        <v>0.25</v>
      </c>
      <c r="T28" s="23">
        <v>5.0</v>
      </c>
      <c r="U28" s="23">
        <v>22.5</v>
      </c>
      <c r="V28" s="23">
        <v>73.0</v>
      </c>
      <c r="W28" s="23">
        <v>19.7</v>
      </c>
    </row>
    <row r="29">
      <c r="A29" s="23" t="s">
        <v>265</v>
      </c>
      <c r="B29" s="23" t="s">
        <v>43</v>
      </c>
      <c r="C29" s="23">
        <v>225.0</v>
      </c>
      <c r="D29" s="23" t="s">
        <v>73</v>
      </c>
      <c r="E29" s="23">
        <v>12.0</v>
      </c>
      <c r="F29" s="23">
        <v>45.0</v>
      </c>
      <c r="G29" s="23">
        <v>791.0</v>
      </c>
      <c r="H29" s="25">
        <v>65.91666666666667</v>
      </c>
      <c r="I29" s="23">
        <v>17.6</v>
      </c>
      <c r="J29" s="23">
        <v>12.0</v>
      </c>
      <c r="K29" s="23">
        <v>0.0</v>
      </c>
      <c r="L29" s="23">
        <v>0.0</v>
      </c>
      <c r="M29" s="23">
        <v>0.0</v>
      </c>
      <c r="N29" s="23">
        <v>0.0</v>
      </c>
      <c r="O29" s="23">
        <v>0.0</v>
      </c>
      <c r="P29" s="25">
        <v>14.466666666666667</v>
      </c>
      <c r="Q29" s="25">
        <v>0.16</v>
      </c>
      <c r="R29" s="25">
        <v>0.35</v>
      </c>
      <c r="S29" s="25">
        <v>0.27</v>
      </c>
      <c r="T29" s="23">
        <v>40.0</v>
      </c>
      <c r="U29" s="23">
        <v>22.2</v>
      </c>
      <c r="V29" s="23">
        <v>74.0</v>
      </c>
      <c r="W29" s="23">
        <v>18.5</v>
      </c>
    </row>
    <row r="30">
      <c r="A30" s="23" t="s">
        <v>266</v>
      </c>
      <c r="B30" s="23" t="s">
        <v>267</v>
      </c>
      <c r="C30" s="23">
        <v>65.0</v>
      </c>
      <c r="D30" s="23" t="s">
        <v>58</v>
      </c>
      <c r="E30" s="23">
        <v>14.0</v>
      </c>
      <c r="F30" s="23">
        <v>101.0</v>
      </c>
      <c r="G30" s="23">
        <v>1293.0</v>
      </c>
      <c r="H30" s="25">
        <v>92.35714285714286</v>
      </c>
      <c r="I30" s="23">
        <v>12.8</v>
      </c>
      <c r="J30" s="23">
        <v>11.0</v>
      </c>
      <c r="K30" s="23">
        <v>11.0</v>
      </c>
      <c r="L30" s="23">
        <v>87.0</v>
      </c>
      <c r="M30" s="23">
        <v>7.9</v>
      </c>
      <c r="N30" s="23">
        <v>0.0</v>
      </c>
      <c r="O30" s="23">
        <v>0.0</v>
      </c>
      <c r="P30" s="25">
        <v>18.178571428571427</v>
      </c>
      <c r="Q30" s="25">
        <v>0.25</v>
      </c>
      <c r="R30" s="25">
        <v>0.26</v>
      </c>
      <c r="S30" s="25">
        <v>0.25</v>
      </c>
      <c r="T30" s="23">
        <v>3.0</v>
      </c>
      <c r="U30" s="23">
        <v>22.2</v>
      </c>
      <c r="V30" s="23">
        <v>71.0</v>
      </c>
      <c r="W30" s="23">
        <v>20.5</v>
      </c>
    </row>
    <row r="31">
      <c r="A31" s="23" t="s">
        <v>268</v>
      </c>
      <c r="B31" s="23" t="s">
        <v>65</v>
      </c>
      <c r="C31" s="23">
        <v>110.0</v>
      </c>
      <c r="D31" s="23" t="s">
        <v>148</v>
      </c>
      <c r="E31" s="23">
        <v>13.0</v>
      </c>
      <c r="F31" s="23">
        <v>52.0</v>
      </c>
      <c r="G31" s="23">
        <v>1140.0</v>
      </c>
      <c r="H31" s="25">
        <v>87.6923076923077</v>
      </c>
      <c r="I31" s="23">
        <v>21.9</v>
      </c>
      <c r="J31" s="23">
        <v>7.0</v>
      </c>
      <c r="K31" s="23">
        <v>0.0</v>
      </c>
      <c r="L31" s="23">
        <v>0.0</v>
      </c>
      <c r="M31" s="23">
        <v>0.0</v>
      </c>
      <c r="N31" s="23">
        <v>0.0</v>
      </c>
      <c r="O31" s="23">
        <v>0.0</v>
      </c>
      <c r="P31" s="25">
        <v>14.0</v>
      </c>
      <c r="Q31" s="25">
        <v>0.23</v>
      </c>
      <c r="R31" s="25">
        <v>0.29</v>
      </c>
      <c r="S31" s="25">
        <v>0.31</v>
      </c>
      <c r="T31" s="23">
        <v>10.0</v>
      </c>
      <c r="U31" s="23">
        <v>22.3</v>
      </c>
      <c r="V31" s="23">
        <v>73.0</v>
      </c>
      <c r="W31" s="23">
        <v>20.5</v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5" width="12.63"/>
    <col customWidth="1" min="19" max="20" width="12.63"/>
  </cols>
  <sheetData>
    <row r="1">
      <c r="A1" s="36" t="s">
        <v>0</v>
      </c>
      <c r="B1" s="36" t="s">
        <v>1</v>
      </c>
      <c r="C1" s="37" t="s">
        <v>2</v>
      </c>
      <c r="D1" s="36" t="s">
        <v>3</v>
      </c>
      <c r="E1" s="36" t="s">
        <v>4</v>
      </c>
      <c r="F1" s="37" t="s">
        <v>5</v>
      </c>
      <c r="G1" s="37" t="s">
        <v>6</v>
      </c>
      <c r="H1" s="38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9" t="s">
        <v>14</v>
      </c>
      <c r="P1" s="40" t="s">
        <v>15</v>
      </c>
      <c r="Q1" s="39" t="s">
        <v>16</v>
      </c>
      <c r="R1" s="39" t="s">
        <v>17</v>
      </c>
      <c r="S1" s="37" t="s">
        <v>18</v>
      </c>
      <c r="T1" s="37" t="s">
        <v>19</v>
      </c>
      <c r="U1" s="41" t="s">
        <v>20</v>
      </c>
      <c r="V1" s="39" t="s">
        <v>21</v>
      </c>
      <c r="W1" s="41" t="s">
        <v>80</v>
      </c>
    </row>
    <row r="2">
      <c r="A2" s="36" t="s">
        <v>269</v>
      </c>
      <c r="B2" s="36" t="s">
        <v>46</v>
      </c>
      <c r="C2" s="36">
        <v>2.0</v>
      </c>
      <c r="D2" s="36" t="s">
        <v>47</v>
      </c>
      <c r="E2" s="36">
        <v>13.0</v>
      </c>
      <c r="F2" s="36">
        <v>96.0</v>
      </c>
      <c r="G2" s="36">
        <v>1258.0</v>
      </c>
      <c r="H2" s="42">
        <f t="shared" ref="H2:H49" si="1">G2/E2</f>
        <v>96.76923077</v>
      </c>
      <c r="I2" s="36">
        <v>13.1</v>
      </c>
      <c r="J2" s="36">
        <v>15.0</v>
      </c>
      <c r="K2" s="36">
        <v>2.0</v>
      </c>
      <c r="L2" s="36">
        <v>5.0</v>
      </c>
      <c r="M2" s="36">
        <v>2.5</v>
      </c>
      <c r="N2" s="36">
        <v>1.0</v>
      </c>
      <c r="O2" s="41">
        <v>0.0</v>
      </c>
      <c r="P2" s="43">
        <f t="shared" ref="P2:P49" si="2">(F2*0.5+G2/10+J2*6+L2/10+N2*6-O2*2)/E2</f>
        <v>20.79230769</v>
      </c>
      <c r="Q2" s="44">
        <v>27.0</v>
      </c>
      <c r="R2" s="44">
        <v>41.0</v>
      </c>
      <c r="S2" s="44">
        <v>35.0</v>
      </c>
      <c r="T2" s="36">
        <v>13.0</v>
      </c>
      <c r="U2" s="41">
        <v>21.9</v>
      </c>
      <c r="V2" s="41">
        <v>73.0</v>
      </c>
      <c r="W2" s="41">
        <v>20.3</v>
      </c>
    </row>
    <row r="3">
      <c r="A3" s="36" t="s">
        <v>270</v>
      </c>
      <c r="B3" s="36" t="s">
        <v>263</v>
      </c>
      <c r="C3" s="36">
        <v>8.0</v>
      </c>
      <c r="D3" s="36" t="s">
        <v>99</v>
      </c>
      <c r="E3" s="36">
        <v>12.0</v>
      </c>
      <c r="F3" s="36">
        <v>84.0</v>
      </c>
      <c r="G3" s="36">
        <v>1319.0</v>
      </c>
      <c r="H3" s="42">
        <f t="shared" si="1"/>
        <v>109.9166667</v>
      </c>
      <c r="I3" s="36">
        <v>15.7</v>
      </c>
      <c r="J3" s="36">
        <v>8.0</v>
      </c>
      <c r="K3" s="36">
        <v>0.0</v>
      </c>
      <c r="L3" s="36">
        <v>0.0</v>
      </c>
      <c r="M3" s="36">
        <v>0.0</v>
      </c>
      <c r="N3" s="36">
        <v>0.0</v>
      </c>
      <c r="O3" s="41">
        <v>1.0</v>
      </c>
      <c r="P3" s="43">
        <f t="shared" si="2"/>
        <v>18.325</v>
      </c>
      <c r="Q3" s="44">
        <v>32.0</v>
      </c>
      <c r="R3" s="44">
        <v>44.0</v>
      </c>
      <c r="S3" s="44">
        <v>44.0</v>
      </c>
      <c r="T3" s="36">
        <v>29.0</v>
      </c>
      <c r="U3" s="41">
        <v>22.1</v>
      </c>
      <c r="V3" s="41">
        <v>76.0</v>
      </c>
      <c r="W3" s="41">
        <v>19.4</v>
      </c>
    </row>
    <row r="4">
      <c r="A4" s="36" t="s">
        <v>271</v>
      </c>
      <c r="B4" s="36" t="s">
        <v>135</v>
      </c>
      <c r="C4" s="36">
        <v>19.0</v>
      </c>
      <c r="D4" s="36" t="s">
        <v>76</v>
      </c>
      <c r="E4" s="36">
        <v>13.0</v>
      </c>
      <c r="F4" s="36">
        <v>74.0</v>
      </c>
      <c r="G4" s="36">
        <v>1151.0</v>
      </c>
      <c r="H4" s="42">
        <f t="shared" si="1"/>
        <v>88.53846154</v>
      </c>
      <c r="I4" s="36">
        <v>15.6</v>
      </c>
      <c r="J4" s="36">
        <v>10.0</v>
      </c>
      <c r="K4" s="36">
        <v>11.0</v>
      </c>
      <c r="L4" s="36">
        <v>87.0</v>
      </c>
      <c r="M4" s="36">
        <v>7.9</v>
      </c>
      <c r="N4" s="36">
        <v>2.0</v>
      </c>
      <c r="O4" s="41">
        <v>1.0</v>
      </c>
      <c r="P4" s="43">
        <f t="shared" si="2"/>
        <v>17.75384615</v>
      </c>
      <c r="Q4" s="44">
        <v>27.0</v>
      </c>
      <c r="R4" s="44">
        <v>24.0</v>
      </c>
      <c r="S4" s="44">
        <v>26.0</v>
      </c>
      <c r="T4" s="36">
        <v>0.0</v>
      </c>
      <c r="U4" s="41">
        <v>22.5</v>
      </c>
      <c r="V4" s="41">
        <v>73.0</v>
      </c>
      <c r="W4" s="41">
        <v>19.9</v>
      </c>
    </row>
    <row r="5">
      <c r="A5" s="36" t="s">
        <v>272</v>
      </c>
      <c r="B5" s="36" t="s">
        <v>62</v>
      </c>
      <c r="C5" s="36">
        <v>23.0</v>
      </c>
      <c r="D5" s="36" t="s">
        <v>105</v>
      </c>
      <c r="E5" s="36">
        <v>16.0</v>
      </c>
      <c r="F5" s="36">
        <v>58.0</v>
      </c>
      <c r="G5" s="36">
        <v>987.0</v>
      </c>
      <c r="H5" s="42">
        <f t="shared" si="1"/>
        <v>61.6875</v>
      </c>
      <c r="I5" s="36">
        <v>17.0</v>
      </c>
      <c r="J5" s="36">
        <v>9.0</v>
      </c>
      <c r="K5" s="36">
        <v>0.0</v>
      </c>
      <c r="L5" s="36">
        <v>0.0</v>
      </c>
      <c r="M5" s="36">
        <v>0.0</v>
      </c>
      <c r="N5" s="36">
        <v>0.0</v>
      </c>
      <c r="O5" s="41">
        <v>0.0</v>
      </c>
      <c r="P5" s="43">
        <f t="shared" si="2"/>
        <v>11.35625</v>
      </c>
      <c r="Q5" s="44">
        <v>16.0</v>
      </c>
      <c r="R5" s="44">
        <v>23.0</v>
      </c>
      <c r="S5" s="44">
        <v>22.0</v>
      </c>
      <c r="T5" s="36">
        <v>4.0</v>
      </c>
      <c r="U5" s="41">
        <v>21.7</v>
      </c>
      <c r="V5" s="41">
        <v>71.0</v>
      </c>
      <c r="W5" s="41">
        <v>20.1</v>
      </c>
    </row>
    <row r="6">
      <c r="A6" s="36" t="s">
        <v>273</v>
      </c>
      <c r="B6" s="36" t="s">
        <v>274</v>
      </c>
      <c r="C6" s="36">
        <v>34.0</v>
      </c>
      <c r="D6" s="36" t="s">
        <v>108</v>
      </c>
      <c r="E6" s="36">
        <v>13.0</v>
      </c>
      <c r="F6" s="36">
        <v>87.0</v>
      </c>
      <c r="G6" s="36">
        <v>1183.0</v>
      </c>
      <c r="H6" s="42">
        <f t="shared" si="1"/>
        <v>91</v>
      </c>
      <c r="I6" s="36">
        <v>13.6</v>
      </c>
      <c r="J6" s="36">
        <v>9.0</v>
      </c>
      <c r="K6" s="36">
        <v>0.0</v>
      </c>
      <c r="L6" s="36">
        <v>0.0</v>
      </c>
      <c r="M6" s="36">
        <v>0.0</v>
      </c>
      <c r="N6" s="36">
        <v>0.0</v>
      </c>
      <c r="O6" s="41">
        <v>0.0</v>
      </c>
      <c r="P6" s="43">
        <f t="shared" si="2"/>
        <v>16.6</v>
      </c>
      <c r="Q6" s="44">
        <v>34.0</v>
      </c>
      <c r="R6" s="44">
        <v>39.0</v>
      </c>
      <c r="S6" s="44">
        <v>37.0</v>
      </c>
      <c r="T6" s="36">
        <v>18.0</v>
      </c>
      <c r="U6" s="41">
        <v>22.4</v>
      </c>
      <c r="V6" s="41">
        <v>76.0</v>
      </c>
      <c r="W6" s="41">
        <v>20.7</v>
      </c>
    </row>
    <row r="7">
      <c r="A7" s="36" t="s">
        <v>275</v>
      </c>
      <c r="B7" s="36" t="s">
        <v>276</v>
      </c>
      <c r="C7" s="36">
        <v>39.0</v>
      </c>
      <c r="D7" s="36" t="s">
        <v>79</v>
      </c>
      <c r="E7" s="36">
        <v>13.0</v>
      </c>
      <c r="F7" s="36">
        <v>86.0</v>
      </c>
      <c r="G7" s="36">
        <v>1212.0</v>
      </c>
      <c r="H7" s="42">
        <f t="shared" si="1"/>
        <v>93.23076923</v>
      </c>
      <c r="I7" s="36">
        <v>14.1</v>
      </c>
      <c r="J7" s="36">
        <v>9.0</v>
      </c>
      <c r="K7" s="36">
        <v>7.0</v>
      </c>
      <c r="L7" s="36">
        <v>31.0</v>
      </c>
      <c r="M7" s="36">
        <v>4.4</v>
      </c>
      <c r="N7" s="36">
        <v>0.0</v>
      </c>
      <c r="O7" s="41">
        <v>0.0</v>
      </c>
      <c r="P7" s="43">
        <f t="shared" si="2"/>
        <v>17.02307692</v>
      </c>
      <c r="Q7" s="44">
        <v>35.0</v>
      </c>
      <c r="R7" s="44">
        <v>39.0</v>
      </c>
      <c r="S7" s="44">
        <v>37.0</v>
      </c>
      <c r="T7" s="36">
        <v>23.0</v>
      </c>
      <c r="U7" s="41">
        <v>21.4</v>
      </c>
      <c r="V7" s="41">
        <v>72.0</v>
      </c>
      <c r="W7" s="41">
        <v>18.7</v>
      </c>
    </row>
    <row r="8">
      <c r="A8" s="36" t="s">
        <v>277</v>
      </c>
      <c r="B8" s="36" t="s">
        <v>89</v>
      </c>
      <c r="C8" s="36">
        <v>55.0</v>
      </c>
      <c r="D8" s="36" t="s">
        <v>73</v>
      </c>
      <c r="E8" s="36">
        <v>9.0</v>
      </c>
      <c r="F8" s="36">
        <v>60.0</v>
      </c>
      <c r="G8" s="36">
        <v>1030.0</v>
      </c>
      <c r="H8" s="42">
        <f t="shared" si="1"/>
        <v>114.4444444</v>
      </c>
      <c r="I8" s="36">
        <v>17.2</v>
      </c>
      <c r="J8" s="36">
        <v>7.0</v>
      </c>
      <c r="K8" s="36">
        <v>0.0</v>
      </c>
      <c r="L8" s="36">
        <v>0.0</v>
      </c>
      <c r="M8" s="36">
        <v>0.0</v>
      </c>
      <c r="N8" s="36">
        <v>0.0</v>
      </c>
      <c r="O8" s="41">
        <v>2.0</v>
      </c>
      <c r="P8" s="43">
        <f t="shared" si="2"/>
        <v>19</v>
      </c>
      <c r="Q8" s="44">
        <v>29.0</v>
      </c>
      <c r="R8" s="44">
        <v>33.0</v>
      </c>
      <c r="S8" s="44">
        <v>32.0</v>
      </c>
      <c r="T8" s="36">
        <v>18.0</v>
      </c>
      <c r="U8" s="41">
        <v>23.2</v>
      </c>
      <c r="V8" s="41">
        <v>75.0</v>
      </c>
      <c r="W8" s="41">
        <v>20.5</v>
      </c>
    </row>
    <row r="9">
      <c r="A9" s="36" t="s">
        <v>278</v>
      </c>
      <c r="B9" s="36" t="s">
        <v>31</v>
      </c>
      <c r="C9" s="36">
        <v>58.0</v>
      </c>
      <c r="D9" s="36" t="s">
        <v>24</v>
      </c>
      <c r="E9" s="36">
        <v>12.0</v>
      </c>
      <c r="F9" s="36">
        <v>62.0</v>
      </c>
      <c r="G9" s="36">
        <v>1034.0</v>
      </c>
      <c r="H9" s="42">
        <f t="shared" si="1"/>
        <v>86.16666667</v>
      </c>
      <c r="I9" s="36">
        <v>16.7</v>
      </c>
      <c r="J9" s="36">
        <v>9.0</v>
      </c>
      <c r="K9" s="36">
        <v>0.0</v>
      </c>
      <c r="L9" s="36">
        <v>7.0</v>
      </c>
      <c r="M9" s="36">
        <v>0.0</v>
      </c>
      <c r="N9" s="36">
        <v>0.0</v>
      </c>
      <c r="O9" s="41">
        <v>0.0</v>
      </c>
      <c r="P9" s="43">
        <f t="shared" si="2"/>
        <v>15.75833333</v>
      </c>
      <c r="Q9" s="44">
        <v>21.0</v>
      </c>
      <c r="R9" s="44">
        <v>34.0</v>
      </c>
      <c r="S9" s="44">
        <v>30.0</v>
      </c>
      <c r="T9" s="36">
        <v>7.0</v>
      </c>
      <c r="U9" s="41">
        <v>22.4</v>
      </c>
      <c r="V9" s="41">
        <v>73.0</v>
      </c>
      <c r="W9" s="41">
        <v>21.7</v>
      </c>
    </row>
    <row r="10">
      <c r="A10" s="36" t="s">
        <v>279</v>
      </c>
      <c r="B10" s="36" t="s">
        <v>280</v>
      </c>
      <c r="C10" s="36">
        <v>69.0</v>
      </c>
      <c r="D10" s="36" t="s">
        <v>148</v>
      </c>
      <c r="E10" s="36">
        <v>13.0</v>
      </c>
      <c r="F10" s="36">
        <v>70.0</v>
      </c>
      <c r="G10" s="36">
        <v>1198.0</v>
      </c>
      <c r="H10" s="42">
        <f t="shared" si="1"/>
        <v>92.15384615</v>
      </c>
      <c r="I10" s="36">
        <v>17.1</v>
      </c>
      <c r="J10" s="36">
        <v>14.0</v>
      </c>
      <c r="K10" s="36">
        <v>9.0</v>
      </c>
      <c r="L10" s="36">
        <v>57.0</v>
      </c>
      <c r="M10" s="36">
        <v>6.3</v>
      </c>
      <c r="N10" s="36">
        <v>0.0</v>
      </c>
      <c r="O10" s="41">
        <v>1.0</v>
      </c>
      <c r="P10" s="43">
        <f t="shared" si="2"/>
        <v>18.65384615</v>
      </c>
      <c r="Q10" s="44">
        <v>27.0</v>
      </c>
      <c r="R10" s="44">
        <v>42.0</v>
      </c>
      <c r="S10" s="44">
        <v>37.0</v>
      </c>
      <c r="T10" s="36">
        <v>0.0</v>
      </c>
      <c r="U10" s="41">
        <v>22.8</v>
      </c>
      <c r="V10" s="41">
        <v>71.0</v>
      </c>
      <c r="W10" s="41">
        <v>18.1</v>
      </c>
    </row>
    <row r="11">
      <c r="A11" s="36" t="s">
        <v>281</v>
      </c>
      <c r="B11" s="36" t="s">
        <v>141</v>
      </c>
      <c r="C11" s="36">
        <v>70.0</v>
      </c>
      <c r="D11" s="36" t="s">
        <v>115</v>
      </c>
      <c r="E11" s="36">
        <v>10.0</v>
      </c>
      <c r="F11" s="36">
        <v>28.0</v>
      </c>
      <c r="G11" s="36">
        <v>545.0</v>
      </c>
      <c r="H11" s="42">
        <f t="shared" si="1"/>
        <v>54.5</v>
      </c>
      <c r="I11" s="36">
        <v>19.5</v>
      </c>
      <c r="J11" s="36">
        <v>3.0</v>
      </c>
      <c r="K11" s="36">
        <v>0.0</v>
      </c>
      <c r="L11" s="36">
        <v>0.0</v>
      </c>
      <c r="M11" s="36">
        <v>0.0</v>
      </c>
      <c r="N11" s="36">
        <v>0.0</v>
      </c>
      <c r="O11" s="41">
        <v>1.0</v>
      </c>
      <c r="P11" s="43">
        <f t="shared" si="2"/>
        <v>8.45</v>
      </c>
      <c r="Q11" s="44">
        <v>14.0</v>
      </c>
      <c r="R11" s="44">
        <v>24.0</v>
      </c>
      <c r="S11" s="44">
        <v>22.0</v>
      </c>
      <c r="T11" s="36">
        <v>1.0</v>
      </c>
      <c r="U11" s="41">
        <v>23.0</v>
      </c>
      <c r="V11" s="41">
        <v>76.0</v>
      </c>
      <c r="W11" s="41">
        <v>22.3</v>
      </c>
    </row>
    <row r="12">
      <c r="A12" s="36" t="s">
        <v>282</v>
      </c>
      <c r="B12" s="36" t="s">
        <v>283</v>
      </c>
      <c r="C12" s="36">
        <v>74.0</v>
      </c>
      <c r="D12" s="36" t="s">
        <v>26</v>
      </c>
      <c r="E12" s="36">
        <v>12.0</v>
      </c>
      <c r="F12" s="36">
        <v>53.0</v>
      </c>
      <c r="G12" s="36">
        <v>978.0</v>
      </c>
      <c r="H12" s="42">
        <f t="shared" si="1"/>
        <v>81.5</v>
      </c>
      <c r="I12" s="36">
        <v>18.5</v>
      </c>
      <c r="J12" s="36">
        <v>10.0</v>
      </c>
      <c r="K12" s="36">
        <v>5.0</v>
      </c>
      <c r="L12" s="36">
        <v>14.0</v>
      </c>
      <c r="M12" s="36">
        <v>2.8</v>
      </c>
      <c r="N12" s="36">
        <v>0.0</v>
      </c>
      <c r="O12" s="41">
        <v>0.0</v>
      </c>
      <c r="P12" s="43">
        <f t="shared" si="2"/>
        <v>15.475</v>
      </c>
      <c r="Q12" s="44">
        <v>27.0</v>
      </c>
      <c r="R12" s="44">
        <v>49.0</v>
      </c>
      <c r="S12" s="44">
        <v>43.0</v>
      </c>
      <c r="T12" s="36">
        <v>11.0</v>
      </c>
      <c r="U12" s="41">
        <v>22.4</v>
      </c>
      <c r="V12" s="41">
        <v>74.0</v>
      </c>
      <c r="W12" s="41">
        <v>20.7</v>
      </c>
    </row>
    <row r="13">
      <c r="A13" s="36" t="s">
        <v>284</v>
      </c>
      <c r="B13" s="36" t="s">
        <v>274</v>
      </c>
      <c r="C13" s="36">
        <v>79.0</v>
      </c>
      <c r="D13" s="36" t="s">
        <v>108</v>
      </c>
      <c r="E13" s="36">
        <v>14.0</v>
      </c>
      <c r="F13" s="36">
        <v>81.0</v>
      </c>
      <c r="G13" s="36">
        <v>1194.0</v>
      </c>
      <c r="H13" s="42">
        <f t="shared" si="1"/>
        <v>85.28571429</v>
      </c>
      <c r="I13" s="36">
        <v>14.7</v>
      </c>
      <c r="J13" s="36">
        <v>8.0</v>
      </c>
      <c r="K13" s="36">
        <v>9.0</v>
      </c>
      <c r="L13" s="36">
        <v>38.0</v>
      </c>
      <c r="M13" s="36">
        <v>4.2</v>
      </c>
      <c r="N13" s="36">
        <v>0.0</v>
      </c>
      <c r="O13" s="41">
        <v>2.0</v>
      </c>
      <c r="P13" s="43">
        <f t="shared" si="2"/>
        <v>14.83571429</v>
      </c>
      <c r="Q13" s="44">
        <v>29.0</v>
      </c>
      <c r="R13" s="44">
        <v>32.0</v>
      </c>
      <c r="S13" s="44">
        <v>32.0</v>
      </c>
      <c r="T13" s="36">
        <v>18.0</v>
      </c>
      <c r="U13" s="41">
        <v>22.6</v>
      </c>
      <c r="V13" s="41">
        <v>70.0</v>
      </c>
      <c r="W13" s="41">
        <v>21.0</v>
      </c>
    </row>
    <row r="14">
      <c r="A14" s="36" t="s">
        <v>285</v>
      </c>
      <c r="B14" s="36" t="s">
        <v>31</v>
      </c>
      <c r="C14" s="36">
        <v>87.0</v>
      </c>
      <c r="D14" s="36" t="s">
        <v>105</v>
      </c>
      <c r="E14" s="36">
        <v>12.0</v>
      </c>
      <c r="F14" s="36">
        <v>60.0</v>
      </c>
      <c r="G14" s="36">
        <v>611.0</v>
      </c>
      <c r="H14" s="42">
        <f t="shared" si="1"/>
        <v>50.91666667</v>
      </c>
      <c r="I14" s="36">
        <v>10.2</v>
      </c>
      <c r="J14" s="36">
        <v>6.0</v>
      </c>
      <c r="K14" s="36">
        <v>51.0</v>
      </c>
      <c r="L14" s="36">
        <v>322.0</v>
      </c>
      <c r="M14" s="36">
        <v>6.3</v>
      </c>
      <c r="N14" s="36">
        <v>6.0</v>
      </c>
      <c r="O14" s="41">
        <v>0.0</v>
      </c>
      <c r="P14" s="43">
        <f t="shared" si="2"/>
        <v>16.275</v>
      </c>
      <c r="Q14" s="44">
        <v>20.0</v>
      </c>
      <c r="R14" s="44">
        <v>22.0</v>
      </c>
      <c r="S14" s="44">
        <v>19.0</v>
      </c>
      <c r="T14" s="36">
        <v>4.0</v>
      </c>
      <c r="U14" s="41">
        <v>22.4</v>
      </c>
      <c r="V14" s="41">
        <v>76.0</v>
      </c>
      <c r="W14" s="41">
        <v>22.4</v>
      </c>
    </row>
    <row r="15">
      <c r="A15" s="36" t="s">
        <v>286</v>
      </c>
      <c r="B15" s="36" t="s">
        <v>287</v>
      </c>
      <c r="C15" s="36">
        <v>102.0</v>
      </c>
      <c r="D15" s="36" t="s">
        <v>35</v>
      </c>
      <c r="E15" s="36">
        <v>12.0</v>
      </c>
      <c r="F15" s="36">
        <v>96.0</v>
      </c>
      <c r="G15" s="36">
        <v>1124.0</v>
      </c>
      <c r="H15" s="42">
        <f t="shared" si="1"/>
        <v>93.66666667</v>
      </c>
      <c r="I15" s="36">
        <v>11.7</v>
      </c>
      <c r="J15" s="36">
        <v>9.0</v>
      </c>
      <c r="K15" s="36">
        <v>2.0</v>
      </c>
      <c r="L15" s="36">
        <v>23.0</v>
      </c>
      <c r="M15" s="36">
        <v>11.5</v>
      </c>
      <c r="N15" s="36">
        <v>0.0</v>
      </c>
      <c r="O15" s="41">
        <v>0.0</v>
      </c>
      <c r="P15" s="43">
        <f t="shared" si="2"/>
        <v>18.05833333</v>
      </c>
      <c r="Q15" s="44">
        <v>30.0</v>
      </c>
      <c r="R15" s="44">
        <v>43.0</v>
      </c>
      <c r="S15" s="44">
        <v>38.0</v>
      </c>
      <c r="T15" s="36">
        <v>2.0</v>
      </c>
      <c r="U15" s="41">
        <v>22.1</v>
      </c>
      <c r="V15" s="41">
        <v>73.0</v>
      </c>
      <c r="W15" s="41">
        <v>20.5</v>
      </c>
    </row>
    <row r="16">
      <c r="A16" s="36" t="s">
        <v>288</v>
      </c>
      <c r="B16" s="36" t="s">
        <v>54</v>
      </c>
      <c r="C16" s="36">
        <v>103.0</v>
      </c>
      <c r="D16" s="36" t="s">
        <v>113</v>
      </c>
      <c r="E16" s="36">
        <v>12.0</v>
      </c>
      <c r="F16" s="36">
        <v>47.0</v>
      </c>
      <c r="G16" s="36">
        <v>689.0</v>
      </c>
      <c r="H16" s="42">
        <f t="shared" si="1"/>
        <v>57.41666667</v>
      </c>
      <c r="I16" s="36">
        <v>14.7</v>
      </c>
      <c r="J16" s="36">
        <v>6.0</v>
      </c>
      <c r="K16" s="36">
        <v>5.0</v>
      </c>
      <c r="L16" s="36">
        <v>32.0</v>
      </c>
      <c r="M16" s="36">
        <v>6.4</v>
      </c>
      <c r="N16" s="36">
        <v>1.0</v>
      </c>
      <c r="O16" s="41">
        <v>0.0</v>
      </c>
      <c r="P16" s="43">
        <f t="shared" si="2"/>
        <v>11.46666667</v>
      </c>
      <c r="Q16" s="44">
        <v>27.0</v>
      </c>
      <c r="R16" s="44">
        <v>31.0</v>
      </c>
      <c r="S16" s="44">
        <v>31.0</v>
      </c>
      <c r="T16" s="36">
        <v>16.0</v>
      </c>
      <c r="U16" s="41">
        <v>22.8</v>
      </c>
      <c r="V16" s="41">
        <v>73.0</v>
      </c>
      <c r="W16" s="41">
        <v>20.1</v>
      </c>
    </row>
    <row r="17">
      <c r="A17" s="36" t="s">
        <v>289</v>
      </c>
      <c r="B17" s="36" t="s">
        <v>101</v>
      </c>
      <c r="C17" s="36">
        <v>108.0</v>
      </c>
      <c r="D17" s="36" t="s">
        <v>24</v>
      </c>
      <c r="E17" s="36">
        <v>11.0</v>
      </c>
      <c r="F17" s="36">
        <v>26.0</v>
      </c>
      <c r="G17" s="36">
        <v>661.0</v>
      </c>
      <c r="H17" s="42">
        <f t="shared" si="1"/>
        <v>60.09090909</v>
      </c>
      <c r="I17" s="36">
        <v>25.4</v>
      </c>
      <c r="J17" s="36">
        <v>6.0</v>
      </c>
      <c r="K17" s="36">
        <v>0.0</v>
      </c>
      <c r="L17" s="36">
        <v>0.0</v>
      </c>
      <c r="M17" s="36">
        <v>0.0</v>
      </c>
      <c r="N17" s="36">
        <v>0.0</v>
      </c>
      <c r="O17" s="41">
        <v>0.0</v>
      </c>
      <c r="P17" s="43">
        <f t="shared" si="2"/>
        <v>10.46363636</v>
      </c>
      <c r="Q17" s="44">
        <v>13.0</v>
      </c>
      <c r="R17" s="44">
        <v>34.0</v>
      </c>
      <c r="S17" s="44">
        <v>30.0</v>
      </c>
      <c r="T17" s="36">
        <v>7.0</v>
      </c>
      <c r="U17" s="41">
        <v>22.4</v>
      </c>
      <c r="V17" s="41">
        <v>77.0</v>
      </c>
      <c r="W17" s="41">
        <v>18.8</v>
      </c>
    </row>
    <row r="18">
      <c r="A18" s="36" t="s">
        <v>290</v>
      </c>
      <c r="B18" s="36" t="s">
        <v>150</v>
      </c>
      <c r="C18" s="36">
        <v>110.0</v>
      </c>
      <c r="D18" s="36" t="s">
        <v>58</v>
      </c>
      <c r="E18" s="36">
        <v>14.0</v>
      </c>
      <c r="F18" s="36">
        <v>48.0</v>
      </c>
      <c r="G18" s="36">
        <v>817.0</v>
      </c>
      <c r="H18" s="42">
        <f t="shared" si="1"/>
        <v>58.35714286</v>
      </c>
      <c r="I18" s="36">
        <v>17.0</v>
      </c>
      <c r="J18" s="36">
        <v>4.0</v>
      </c>
      <c r="K18" s="36">
        <v>5.0</v>
      </c>
      <c r="L18" s="36">
        <v>54.0</v>
      </c>
      <c r="M18" s="36">
        <v>10.8</v>
      </c>
      <c r="N18" s="36">
        <v>0.0</v>
      </c>
      <c r="O18" s="41">
        <v>1.0</v>
      </c>
      <c r="P18" s="43">
        <f t="shared" si="2"/>
        <v>9.507142857</v>
      </c>
      <c r="Q18" s="44">
        <v>14.0</v>
      </c>
      <c r="R18" s="44">
        <v>14.0</v>
      </c>
      <c r="S18" s="44">
        <v>17.0</v>
      </c>
      <c r="T18" s="36">
        <v>19.0</v>
      </c>
      <c r="U18" s="41">
        <v>23.5</v>
      </c>
      <c r="V18" s="41">
        <v>72.0</v>
      </c>
      <c r="W18" s="41">
        <v>23.5</v>
      </c>
    </row>
    <row r="19">
      <c r="A19" s="36" t="s">
        <v>291</v>
      </c>
      <c r="B19" s="36" t="s">
        <v>292</v>
      </c>
      <c r="C19" s="36">
        <v>128.0</v>
      </c>
      <c r="D19" s="36" t="s">
        <v>69</v>
      </c>
      <c r="E19" s="36">
        <v>11.0</v>
      </c>
      <c r="F19" s="36">
        <v>69.0</v>
      </c>
      <c r="G19" s="36">
        <v>940.0</v>
      </c>
      <c r="H19" s="42">
        <f t="shared" si="1"/>
        <v>85.45454545</v>
      </c>
      <c r="I19" s="36">
        <v>13.6</v>
      </c>
      <c r="J19" s="36">
        <v>5.0</v>
      </c>
      <c r="K19" s="36">
        <v>3.0</v>
      </c>
      <c r="L19" s="36">
        <v>4.0</v>
      </c>
      <c r="M19" s="36">
        <v>1.3</v>
      </c>
      <c r="N19" s="36">
        <v>0.0</v>
      </c>
      <c r="O19" s="41">
        <v>2.0</v>
      </c>
      <c r="P19" s="43">
        <f t="shared" si="2"/>
        <v>14.08181818</v>
      </c>
      <c r="Q19" s="44">
        <v>24.0</v>
      </c>
      <c r="R19" s="44">
        <v>28.0</v>
      </c>
      <c r="S19" s="44">
        <v>30.0</v>
      </c>
      <c r="T19" s="36">
        <v>24.0</v>
      </c>
      <c r="U19" s="41">
        <v>23.0</v>
      </c>
      <c r="V19" s="41">
        <v>70.0</v>
      </c>
      <c r="W19" s="41">
        <v>20.3</v>
      </c>
    </row>
    <row r="20">
      <c r="A20" s="36" t="s">
        <v>293</v>
      </c>
      <c r="B20" s="36" t="s">
        <v>294</v>
      </c>
      <c r="C20" s="36">
        <v>133.0</v>
      </c>
      <c r="D20" s="36" t="s">
        <v>154</v>
      </c>
      <c r="E20" s="36">
        <v>13.0</v>
      </c>
      <c r="F20" s="36">
        <v>71.0</v>
      </c>
      <c r="G20" s="36">
        <v>1080.0</v>
      </c>
      <c r="H20" s="42">
        <f t="shared" si="1"/>
        <v>83.07692308</v>
      </c>
      <c r="I20" s="36">
        <v>15.2</v>
      </c>
      <c r="J20" s="36">
        <v>15.0</v>
      </c>
      <c r="K20" s="36">
        <v>0.0</v>
      </c>
      <c r="L20" s="36">
        <v>0.0</v>
      </c>
      <c r="M20" s="36">
        <v>0.0</v>
      </c>
      <c r="N20" s="36">
        <v>0.0</v>
      </c>
      <c r="O20" s="41">
        <v>0.0</v>
      </c>
      <c r="P20" s="43">
        <f t="shared" si="2"/>
        <v>17.96153846</v>
      </c>
      <c r="Q20" s="44">
        <v>26.0</v>
      </c>
      <c r="R20" s="44">
        <v>43.0</v>
      </c>
      <c r="S20" s="44">
        <v>37.0</v>
      </c>
      <c r="T20" s="36">
        <v>19.0</v>
      </c>
      <c r="U20" s="41">
        <v>22.2</v>
      </c>
      <c r="V20" s="41">
        <v>72.0</v>
      </c>
      <c r="W20" s="41">
        <v>20.5</v>
      </c>
    </row>
    <row r="21">
      <c r="A21" s="36" t="s">
        <v>295</v>
      </c>
      <c r="B21" s="36" t="s">
        <v>123</v>
      </c>
      <c r="C21" s="36">
        <v>136.0</v>
      </c>
      <c r="D21" s="36" t="s">
        <v>113</v>
      </c>
      <c r="E21" s="36">
        <v>12.0</v>
      </c>
      <c r="F21" s="36">
        <v>62.0</v>
      </c>
      <c r="G21" s="36">
        <v>1013.0</v>
      </c>
      <c r="H21" s="42">
        <f t="shared" si="1"/>
        <v>84.41666667</v>
      </c>
      <c r="I21" s="36">
        <v>16.3</v>
      </c>
      <c r="J21" s="36">
        <v>6.0</v>
      </c>
      <c r="K21" s="36">
        <v>0.0</v>
      </c>
      <c r="L21" s="36">
        <v>0.0</v>
      </c>
      <c r="M21" s="36">
        <v>0.0</v>
      </c>
      <c r="N21" s="36">
        <v>0.0</v>
      </c>
      <c r="O21" s="41">
        <v>0.0</v>
      </c>
      <c r="P21" s="43">
        <f t="shared" si="2"/>
        <v>14.025</v>
      </c>
      <c r="Q21" s="44">
        <v>27.0</v>
      </c>
      <c r="R21" s="44">
        <v>55.0</v>
      </c>
      <c r="S21" s="44">
        <v>45.0</v>
      </c>
      <c r="T21" s="36">
        <v>16.0</v>
      </c>
      <c r="U21" s="41">
        <v>21.9</v>
      </c>
      <c r="V21" s="41">
        <v>74.0</v>
      </c>
      <c r="W21" s="41">
        <v>20.2</v>
      </c>
    </row>
    <row r="22">
      <c r="A22" s="36" t="s">
        <v>296</v>
      </c>
      <c r="B22" s="36" t="s">
        <v>89</v>
      </c>
      <c r="C22" s="36">
        <v>138.0</v>
      </c>
      <c r="D22" s="36" t="s">
        <v>38</v>
      </c>
      <c r="E22" s="36">
        <v>12.0</v>
      </c>
      <c r="F22" s="36">
        <v>49.0</v>
      </c>
      <c r="G22" s="36">
        <v>906.0</v>
      </c>
      <c r="H22" s="42">
        <f t="shared" si="1"/>
        <v>75.5</v>
      </c>
      <c r="I22" s="36">
        <v>18.5</v>
      </c>
      <c r="J22" s="36">
        <v>9.0</v>
      </c>
      <c r="K22" s="36">
        <v>3.0</v>
      </c>
      <c r="L22" s="36">
        <v>20.0</v>
      </c>
      <c r="M22" s="36">
        <v>6.7</v>
      </c>
      <c r="N22" s="36">
        <v>0.0</v>
      </c>
      <c r="O22" s="41">
        <v>0.0</v>
      </c>
      <c r="P22" s="43">
        <f t="shared" si="2"/>
        <v>14.25833333</v>
      </c>
      <c r="Q22" s="44">
        <v>18.0</v>
      </c>
      <c r="R22" s="44">
        <v>31.0</v>
      </c>
      <c r="S22" s="44">
        <v>26.0</v>
      </c>
      <c r="T22" s="36">
        <v>16.0</v>
      </c>
      <c r="U22" s="41">
        <v>23.2</v>
      </c>
      <c r="V22" s="41">
        <v>71.0</v>
      </c>
      <c r="W22" s="41">
        <v>22.6</v>
      </c>
    </row>
    <row r="23">
      <c r="A23" s="36" t="s">
        <v>297</v>
      </c>
      <c r="B23" s="36" t="s">
        <v>110</v>
      </c>
      <c r="C23" s="36">
        <v>158.0</v>
      </c>
      <c r="D23" s="36" t="s">
        <v>73</v>
      </c>
      <c r="E23" s="36">
        <v>12.0</v>
      </c>
      <c r="F23" s="36">
        <v>50.0</v>
      </c>
      <c r="G23" s="36">
        <v>981.0</v>
      </c>
      <c r="H23" s="42">
        <f t="shared" si="1"/>
        <v>81.75</v>
      </c>
      <c r="I23" s="36">
        <v>19.6</v>
      </c>
      <c r="J23" s="36">
        <v>8.0</v>
      </c>
      <c r="K23" s="36">
        <v>0.0</v>
      </c>
      <c r="L23" s="36">
        <v>0.0</v>
      </c>
      <c r="M23" s="36">
        <v>0.0</v>
      </c>
      <c r="N23" s="36">
        <v>0.0</v>
      </c>
      <c r="O23" s="41">
        <v>0.0</v>
      </c>
      <c r="P23" s="43">
        <f t="shared" si="2"/>
        <v>14.25833333</v>
      </c>
      <c r="Q23" s="44">
        <v>22.0</v>
      </c>
      <c r="R23" s="44">
        <v>30.0</v>
      </c>
      <c r="S23" s="44">
        <v>30.0</v>
      </c>
      <c r="T23" s="36">
        <v>18.0</v>
      </c>
      <c r="U23" s="41">
        <v>22.7</v>
      </c>
      <c r="V23" s="41">
        <v>73.0</v>
      </c>
      <c r="W23" s="41">
        <v>21.1</v>
      </c>
    </row>
    <row r="24">
      <c r="A24" s="36" t="s">
        <v>298</v>
      </c>
      <c r="B24" s="36" t="s">
        <v>299</v>
      </c>
      <c r="C24" s="36">
        <v>166.0</v>
      </c>
      <c r="D24" s="36" t="s">
        <v>95</v>
      </c>
      <c r="E24" s="36">
        <v>12.0</v>
      </c>
      <c r="F24" s="36">
        <v>96.0</v>
      </c>
      <c r="G24" s="36">
        <v>1136.0</v>
      </c>
      <c r="H24" s="42">
        <f t="shared" si="1"/>
        <v>94.66666667</v>
      </c>
      <c r="I24" s="36">
        <v>11.8</v>
      </c>
      <c r="J24" s="36">
        <v>8.0</v>
      </c>
      <c r="K24" s="36">
        <v>0.0</v>
      </c>
      <c r="L24" s="36">
        <v>0.0</v>
      </c>
      <c r="M24" s="36">
        <v>0.0</v>
      </c>
      <c r="N24" s="36">
        <v>0.0</v>
      </c>
      <c r="O24" s="41">
        <v>0.0</v>
      </c>
      <c r="P24" s="43">
        <f t="shared" si="2"/>
        <v>17.46666667</v>
      </c>
      <c r="Q24" s="44">
        <v>31.0</v>
      </c>
      <c r="R24" s="44">
        <v>33.0</v>
      </c>
      <c r="S24" s="44">
        <v>32.0</v>
      </c>
      <c r="T24" s="36">
        <v>34.0</v>
      </c>
      <c r="U24" s="41">
        <v>22.4</v>
      </c>
      <c r="V24" s="41">
        <v>75.0</v>
      </c>
      <c r="W24" s="41">
        <v>17.8</v>
      </c>
    </row>
    <row r="25">
      <c r="A25" s="36" t="s">
        <v>300</v>
      </c>
      <c r="B25" s="36" t="s">
        <v>46</v>
      </c>
      <c r="C25" s="36">
        <v>203.0</v>
      </c>
      <c r="D25" s="36" t="s">
        <v>63</v>
      </c>
      <c r="E25" s="36">
        <v>12.0</v>
      </c>
      <c r="F25" s="36">
        <v>108.0</v>
      </c>
      <c r="G25" s="36">
        <v>1168.0</v>
      </c>
      <c r="H25" s="42">
        <f t="shared" si="1"/>
        <v>97.33333333</v>
      </c>
      <c r="I25" s="36">
        <v>10.8</v>
      </c>
      <c r="J25" s="36">
        <v>8.0</v>
      </c>
      <c r="K25" s="36">
        <v>8.0</v>
      </c>
      <c r="L25" s="36">
        <v>44.0</v>
      </c>
      <c r="M25" s="36">
        <v>5.5</v>
      </c>
      <c r="N25" s="36">
        <v>1.0</v>
      </c>
      <c r="O25" s="41">
        <v>0.0</v>
      </c>
      <c r="P25" s="43">
        <f t="shared" si="2"/>
        <v>19.1</v>
      </c>
      <c r="Q25" s="44">
        <v>41.0</v>
      </c>
      <c r="R25" s="44">
        <v>42.0</v>
      </c>
      <c r="S25" s="44">
        <v>43.0</v>
      </c>
      <c r="T25" s="36">
        <v>9.0</v>
      </c>
      <c r="U25" s="41">
        <v>23.1</v>
      </c>
      <c r="V25" s="41">
        <v>70.0</v>
      </c>
      <c r="W25" s="41">
        <v>19.4</v>
      </c>
    </row>
    <row r="26">
      <c r="A26" s="36" t="s">
        <v>301</v>
      </c>
      <c r="B26" s="36" t="s">
        <v>46</v>
      </c>
      <c r="C26" s="36">
        <v>208.0</v>
      </c>
      <c r="D26" s="36" t="s">
        <v>99</v>
      </c>
      <c r="E26" s="36">
        <v>12.0</v>
      </c>
      <c r="F26" s="36">
        <v>58.0</v>
      </c>
      <c r="G26" s="36">
        <v>567.0</v>
      </c>
      <c r="H26" s="42">
        <f t="shared" si="1"/>
        <v>47.25</v>
      </c>
      <c r="I26" s="36">
        <v>9.8</v>
      </c>
      <c r="J26" s="36">
        <v>6.0</v>
      </c>
      <c r="K26" s="36">
        <v>2.0</v>
      </c>
      <c r="L26" s="36">
        <v>18.0</v>
      </c>
      <c r="M26" s="36">
        <v>9.0</v>
      </c>
      <c r="N26" s="36">
        <v>0.0</v>
      </c>
      <c r="O26" s="41">
        <v>0.0</v>
      </c>
      <c r="P26" s="43">
        <f t="shared" si="2"/>
        <v>10.29166667</v>
      </c>
      <c r="Q26" s="44">
        <v>18.0</v>
      </c>
      <c r="R26" s="44">
        <v>21.0</v>
      </c>
      <c r="S26" s="44">
        <v>18.0</v>
      </c>
      <c r="T26" s="36">
        <v>29.0</v>
      </c>
      <c r="U26" s="41">
        <v>22.6</v>
      </c>
      <c r="V26" s="41">
        <v>68.0</v>
      </c>
      <c r="W26" s="41">
        <v>20.0</v>
      </c>
    </row>
    <row r="27">
      <c r="A27" s="36" t="s">
        <v>302</v>
      </c>
      <c r="B27" s="36" t="s">
        <v>245</v>
      </c>
      <c r="C27" s="36">
        <v>235.0</v>
      </c>
      <c r="D27" s="36" t="s">
        <v>76</v>
      </c>
      <c r="E27" s="36">
        <v>12.0</v>
      </c>
      <c r="F27" s="36">
        <v>83.0</v>
      </c>
      <c r="G27" s="36">
        <v>898.0</v>
      </c>
      <c r="H27" s="42">
        <f t="shared" si="1"/>
        <v>74.83333333</v>
      </c>
      <c r="I27" s="36">
        <v>10.8</v>
      </c>
      <c r="J27" s="36">
        <v>10.0</v>
      </c>
      <c r="K27" s="36">
        <v>1.0</v>
      </c>
      <c r="L27" s="36">
        <v>-1.0</v>
      </c>
      <c r="M27" s="36">
        <v>-1.0</v>
      </c>
      <c r="N27" s="36">
        <v>0.0</v>
      </c>
      <c r="O27" s="41">
        <v>1.0</v>
      </c>
      <c r="P27" s="43">
        <f t="shared" si="2"/>
        <v>15.76666667</v>
      </c>
      <c r="Q27" s="44">
        <v>29.0</v>
      </c>
      <c r="R27" s="44">
        <v>39.0</v>
      </c>
      <c r="S27" s="44">
        <v>32.0</v>
      </c>
      <c r="T27" s="36">
        <v>0.0</v>
      </c>
      <c r="U27" s="41">
        <v>22.9</v>
      </c>
      <c r="V27" s="41">
        <v>70.0</v>
      </c>
      <c r="W27" s="41">
        <v>19.3</v>
      </c>
    </row>
    <row r="28">
      <c r="A28" s="36" t="s">
        <v>303</v>
      </c>
      <c r="B28" s="36" t="s">
        <v>304</v>
      </c>
      <c r="C28" s="36">
        <v>238.0</v>
      </c>
      <c r="D28" s="36" t="s">
        <v>95</v>
      </c>
      <c r="E28" s="36">
        <v>14.0</v>
      </c>
      <c r="F28" s="36">
        <v>89.0</v>
      </c>
      <c r="G28" s="36">
        <v>1481.0</v>
      </c>
      <c r="H28" s="42">
        <f t="shared" si="1"/>
        <v>105.7857143</v>
      </c>
      <c r="I28" s="36">
        <v>16.6</v>
      </c>
      <c r="J28" s="36">
        <v>8.0</v>
      </c>
      <c r="K28" s="36">
        <v>1.0</v>
      </c>
      <c r="L28" s="36">
        <v>1.0</v>
      </c>
      <c r="M28" s="36">
        <v>1.0</v>
      </c>
      <c r="N28" s="36">
        <v>0.0</v>
      </c>
      <c r="O28" s="41">
        <v>0.0</v>
      </c>
      <c r="P28" s="43">
        <f t="shared" si="2"/>
        <v>17.19285714</v>
      </c>
      <c r="Q28" s="44">
        <v>35.0</v>
      </c>
      <c r="R28" s="44">
        <v>47.0</v>
      </c>
      <c r="S28" s="44">
        <v>45.0</v>
      </c>
      <c r="T28" s="36">
        <v>34.0</v>
      </c>
      <c r="U28" s="41">
        <v>23.2</v>
      </c>
      <c r="V28" s="41">
        <v>73.0</v>
      </c>
      <c r="W28" s="41">
        <v>18.6</v>
      </c>
    </row>
    <row r="29">
      <c r="A29" s="36" t="s">
        <v>305</v>
      </c>
      <c r="B29" s="36" t="s">
        <v>287</v>
      </c>
      <c r="C29" s="36">
        <v>240.0</v>
      </c>
      <c r="D29" s="36" t="s">
        <v>66</v>
      </c>
      <c r="E29" s="36">
        <v>13.0</v>
      </c>
      <c r="F29" s="36">
        <v>42.0</v>
      </c>
      <c r="G29" s="36">
        <v>666.0</v>
      </c>
      <c r="H29" s="42">
        <f t="shared" si="1"/>
        <v>51.23076923</v>
      </c>
      <c r="I29" s="36">
        <v>15.9</v>
      </c>
      <c r="J29" s="36">
        <v>5.0</v>
      </c>
      <c r="K29" s="36">
        <v>1.0</v>
      </c>
      <c r="L29" s="36">
        <v>36.0</v>
      </c>
      <c r="M29" s="36">
        <v>36.0</v>
      </c>
      <c r="N29" s="36">
        <v>0.0</v>
      </c>
      <c r="O29" s="41">
        <v>0.0</v>
      </c>
      <c r="P29" s="43">
        <f t="shared" si="2"/>
        <v>9.323076923</v>
      </c>
      <c r="Q29" s="44">
        <v>14.0</v>
      </c>
      <c r="R29" s="44">
        <v>19.0</v>
      </c>
      <c r="S29" s="44">
        <v>18.0</v>
      </c>
      <c r="T29" s="36">
        <v>17.0</v>
      </c>
      <c r="U29" s="41">
        <v>22.6</v>
      </c>
      <c r="V29" s="41">
        <v>76.0</v>
      </c>
      <c r="W29" s="41">
        <v>20.0</v>
      </c>
    </row>
    <row r="30">
      <c r="A30" s="36" t="s">
        <v>306</v>
      </c>
      <c r="B30" s="36" t="s">
        <v>261</v>
      </c>
      <c r="C30" s="36">
        <v>242.0</v>
      </c>
      <c r="D30" s="36" t="s">
        <v>55</v>
      </c>
      <c r="E30" s="36">
        <v>12.0</v>
      </c>
      <c r="F30" s="36">
        <v>63.0</v>
      </c>
      <c r="G30" s="36">
        <v>751.0</v>
      </c>
      <c r="H30" s="42">
        <f t="shared" si="1"/>
        <v>62.58333333</v>
      </c>
      <c r="I30" s="36">
        <v>11.9</v>
      </c>
      <c r="J30" s="36">
        <v>8.0</v>
      </c>
      <c r="K30" s="36">
        <v>0.0</v>
      </c>
      <c r="L30" s="36">
        <v>0.0</v>
      </c>
      <c r="M30" s="36">
        <v>0.0</v>
      </c>
      <c r="N30" s="36">
        <v>0.0</v>
      </c>
      <c r="O30" s="41">
        <v>2.0</v>
      </c>
      <c r="P30" s="43">
        <f t="shared" si="2"/>
        <v>12.55</v>
      </c>
      <c r="Q30" s="44">
        <v>28.0</v>
      </c>
      <c r="R30" s="44">
        <v>38.0</v>
      </c>
      <c r="S30" s="44">
        <v>33.0</v>
      </c>
      <c r="T30" s="36">
        <v>39.0</v>
      </c>
      <c r="U30" s="41">
        <v>22.5</v>
      </c>
      <c r="V30" s="41">
        <v>71.0</v>
      </c>
      <c r="W30" s="41">
        <v>18.9</v>
      </c>
    </row>
    <row r="31">
      <c r="A31" s="36" t="s">
        <v>307</v>
      </c>
      <c r="B31" s="36" t="s">
        <v>150</v>
      </c>
      <c r="C31" s="36">
        <v>244.0</v>
      </c>
      <c r="D31" s="36" t="s">
        <v>115</v>
      </c>
      <c r="E31" s="36">
        <v>12.0</v>
      </c>
      <c r="F31" s="36">
        <v>56.0</v>
      </c>
      <c r="G31" s="36">
        <v>846.0</v>
      </c>
      <c r="H31" s="42">
        <f t="shared" si="1"/>
        <v>70.5</v>
      </c>
      <c r="I31" s="36">
        <v>15.1</v>
      </c>
      <c r="J31" s="36">
        <v>3.0</v>
      </c>
      <c r="K31" s="36">
        <v>7.0</v>
      </c>
      <c r="L31" s="36">
        <v>6.0</v>
      </c>
      <c r="M31" s="36">
        <v>0.9</v>
      </c>
      <c r="N31" s="36">
        <v>0.0</v>
      </c>
      <c r="O31" s="41">
        <v>1.0</v>
      </c>
      <c r="P31" s="43">
        <f t="shared" si="2"/>
        <v>10.76666667</v>
      </c>
      <c r="Q31" s="44">
        <v>24.0</v>
      </c>
      <c r="R31" s="44">
        <v>25.0</v>
      </c>
      <c r="S31" s="44">
        <v>29.0</v>
      </c>
      <c r="T31" s="36">
        <v>1.0</v>
      </c>
      <c r="U31" s="41">
        <v>22.5</v>
      </c>
      <c r="V31" s="41">
        <v>70.0</v>
      </c>
      <c r="W31" s="41">
        <v>19.8</v>
      </c>
    </row>
    <row r="32">
      <c r="A32" s="36" t="s">
        <v>308</v>
      </c>
      <c r="B32" s="36" t="s">
        <v>62</v>
      </c>
      <c r="C32" s="36" t="s">
        <v>309</v>
      </c>
      <c r="D32" s="36" t="s">
        <v>111</v>
      </c>
      <c r="E32" s="36">
        <v>13.0</v>
      </c>
      <c r="F32" s="36">
        <v>34.0</v>
      </c>
      <c r="G32" s="36">
        <v>540.0</v>
      </c>
      <c r="H32" s="42">
        <f t="shared" si="1"/>
        <v>41.53846154</v>
      </c>
      <c r="I32" s="36">
        <v>15.9</v>
      </c>
      <c r="J32" s="36">
        <v>5.0</v>
      </c>
      <c r="K32" s="36">
        <v>4.0</v>
      </c>
      <c r="L32" s="36">
        <v>98.0</v>
      </c>
      <c r="M32" s="36">
        <v>24.5</v>
      </c>
      <c r="N32" s="36">
        <v>1.0</v>
      </c>
      <c r="O32" s="41">
        <v>0.0</v>
      </c>
      <c r="P32" s="43">
        <f t="shared" si="2"/>
        <v>8.984615385</v>
      </c>
      <c r="Q32" s="44">
        <v>12.0</v>
      </c>
      <c r="R32" s="44">
        <v>15.0</v>
      </c>
      <c r="S32" s="44">
        <v>15.0</v>
      </c>
      <c r="T32" s="36">
        <v>16.0</v>
      </c>
      <c r="U32" s="41">
        <v>21.1</v>
      </c>
      <c r="V32" s="41">
        <v>71.0</v>
      </c>
      <c r="W32" s="41">
        <v>21.1</v>
      </c>
    </row>
    <row r="33">
      <c r="A33" s="36" t="s">
        <v>310</v>
      </c>
      <c r="B33" s="36" t="s">
        <v>276</v>
      </c>
      <c r="C33" s="36" t="s">
        <v>309</v>
      </c>
      <c r="D33" s="36" t="s">
        <v>83</v>
      </c>
      <c r="E33" s="36">
        <v>13.0</v>
      </c>
      <c r="F33" s="36">
        <v>60.0</v>
      </c>
      <c r="G33" s="36">
        <v>884.0</v>
      </c>
      <c r="H33" s="42">
        <f t="shared" si="1"/>
        <v>68</v>
      </c>
      <c r="I33" s="36">
        <v>14.7</v>
      </c>
      <c r="J33" s="36">
        <v>4.0</v>
      </c>
      <c r="K33" s="36">
        <v>0.0</v>
      </c>
      <c r="L33" s="36">
        <v>0.0</v>
      </c>
      <c r="M33" s="36">
        <v>0.0</v>
      </c>
      <c r="N33" s="36">
        <v>0.0</v>
      </c>
      <c r="O33" s="41">
        <v>0.0</v>
      </c>
      <c r="P33" s="43">
        <f t="shared" si="2"/>
        <v>10.95384615</v>
      </c>
      <c r="Q33" s="44">
        <v>24.0</v>
      </c>
      <c r="R33" s="44">
        <v>29.0</v>
      </c>
      <c r="S33" s="44">
        <v>29.0</v>
      </c>
      <c r="T33" s="36">
        <v>4.0</v>
      </c>
      <c r="U33" s="41">
        <v>23.8</v>
      </c>
      <c r="V33" s="41">
        <v>74.0</v>
      </c>
      <c r="W33" s="41">
        <v>21.2</v>
      </c>
    </row>
    <row r="34">
      <c r="A34" s="36" t="s">
        <v>311</v>
      </c>
      <c r="B34" s="36" t="s">
        <v>183</v>
      </c>
      <c r="C34" s="36" t="s">
        <v>70</v>
      </c>
      <c r="D34" s="36" t="s">
        <v>113</v>
      </c>
      <c r="E34" s="36">
        <v>12.0</v>
      </c>
      <c r="F34" s="36">
        <v>69.0</v>
      </c>
      <c r="G34" s="36">
        <v>1127.0</v>
      </c>
      <c r="H34" s="42">
        <f t="shared" si="1"/>
        <v>93.91666667</v>
      </c>
      <c r="I34" s="36">
        <v>16.3</v>
      </c>
      <c r="J34" s="36">
        <v>11.0</v>
      </c>
      <c r="K34" s="36">
        <v>0.0</v>
      </c>
      <c r="L34" s="36">
        <v>0.0</v>
      </c>
      <c r="M34" s="36">
        <v>0.0</v>
      </c>
      <c r="N34" s="36">
        <v>0.0</v>
      </c>
      <c r="O34" s="41">
        <v>2.0</v>
      </c>
      <c r="P34" s="43">
        <f t="shared" si="2"/>
        <v>17.43333333</v>
      </c>
      <c r="Q34" s="44">
        <v>23.0</v>
      </c>
      <c r="R34" s="44">
        <v>29.0</v>
      </c>
      <c r="S34" s="44">
        <v>28.0</v>
      </c>
      <c r="T34" s="36">
        <v>16.0</v>
      </c>
      <c r="U34" s="41">
        <v>23.0</v>
      </c>
      <c r="V34" s="41">
        <v>70.0</v>
      </c>
      <c r="W34" s="41">
        <v>21.4</v>
      </c>
    </row>
    <row r="35">
      <c r="A35" s="36" t="s">
        <v>312</v>
      </c>
      <c r="B35" s="36" t="s">
        <v>179</v>
      </c>
      <c r="C35" s="36" t="s">
        <v>309</v>
      </c>
      <c r="D35" s="36" t="s">
        <v>38</v>
      </c>
      <c r="E35" s="36">
        <v>13.0</v>
      </c>
      <c r="F35" s="36">
        <v>44.0</v>
      </c>
      <c r="G35" s="36">
        <v>878.0</v>
      </c>
      <c r="H35" s="42">
        <f t="shared" si="1"/>
        <v>67.53846154</v>
      </c>
      <c r="I35" s="36">
        <v>20.0</v>
      </c>
      <c r="J35" s="36">
        <v>12.0</v>
      </c>
      <c r="K35" s="36">
        <v>12.0</v>
      </c>
      <c r="L35" s="36">
        <v>23.0</v>
      </c>
      <c r="M35" s="36">
        <v>1.9</v>
      </c>
      <c r="N35" s="36">
        <v>1.0</v>
      </c>
      <c r="O35" s="41">
        <v>2.0</v>
      </c>
      <c r="P35" s="43">
        <f t="shared" si="2"/>
        <v>14.31538462</v>
      </c>
      <c r="Q35" s="44">
        <v>27.0</v>
      </c>
      <c r="R35" s="44">
        <v>80.0</v>
      </c>
      <c r="S35" s="44">
        <v>60.0</v>
      </c>
      <c r="T35" s="36">
        <v>16.0</v>
      </c>
      <c r="U35" s="41">
        <v>23.9</v>
      </c>
      <c r="V35" s="41">
        <v>76.0</v>
      </c>
      <c r="W35" s="41">
        <v>19.2</v>
      </c>
    </row>
    <row r="36">
      <c r="A36" s="36" t="s">
        <v>313</v>
      </c>
      <c r="B36" s="36" t="s">
        <v>162</v>
      </c>
      <c r="C36" s="36" t="s">
        <v>309</v>
      </c>
      <c r="D36" s="36" t="s">
        <v>29</v>
      </c>
      <c r="E36" s="36">
        <v>12.0</v>
      </c>
      <c r="F36" s="36">
        <v>61.0</v>
      </c>
      <c r="G36" s="36">
        <v>923.0</v>
      </c>
      <c r="H36" s="42">
        <f t="shared" si="1"/>
        <v>76.91666667</v>
      </c>
      <c r="I36" s="36">
        <v>15.1</v>
      </c>
      <c r="J36" s="36">
        <v>8.0</v>
      </c>
      <c r="K36" s="36">
        <v>1.0</v>
      </c>
      <c r="L36" s="36">
        <v>3.0</v>
      </c>
      <c r="M36" s="36">
        <v>3.0</v>
      </c>
      <c r="N36" s="36">
        <v>0.0</v>
      </c>
      <c r="O36" s="41">
        <v>0.0</v>
      </c>
      <c r="P36" s="43">
        <f t="shared" si="2"/>
        <v>14.25833333</v>
      </c>
      <c r="Q36" s="44">
        <v>18.0</v>
      </c>
      <c r="R36" s="44">
        <v>30.0</v>
      </c>
      <c r="S36" s="44">
        <v>26.0</v>
      </c>
      <c r="T36" s="36">
        <v>10.0</v>
      </c>
      <c r="U36" s="41">
        <v>23.8</v>
      </c>
      <c r="V36" s="41">
        <v>73.0</v>
      </c>
      <c r="W36" s="41">
        <v>22.2</v>
      </c>
    </row>
    <row r="37">
      <c r="A37" s="36" t="s">
        <v>314</v>
      </c>
      <c r="B37" s="36" t="s">
        <v>315</v>
      </c>
      <c r="C37" s="36" t="s">
        <v>309</v>
      </c>
      <c r="D37" s="36" t="s">
        <v>125</v>
      </c>
      <c r="E37" s="36">
        <v>12.0</v>
      </c>
      <c r="F37" s="36">
        <v>104.0</v>
      </c>
      <c r="G37" s="36">
        <v>1382.0</v>
      </c>
      <c r="H37" s="42">
        <f t="shared" si="1"/>
        <v>115.1666667</v>
      </c>
      <c r="I37" s="36">
        <v>13.3</v>
      </c>
      <c r="J37" s="36">
        <v>16.0</v>
      </c>
      <c r="K37" s="36">
        <v>1.0</v>
      </c>
      <c r="L37" s="36">
        <v>-9.0</v>
      </c>
      <c r="M37" s="36">
        <v>-9.0</v>
      </c>
      <c r="N37" s="36">
        <v>0.0</v>
      </c>
      <c r="O37" s="41">
        <v>3.0</v>
      </c>
      <c r="P37" s="43">
        <f t="shared" si="2"/>
        <v>23.275</v>
      </c>
      <c r="Q37" s="44">
        <v>36.0</v>
      </c>
      <c r="R37" s="44">
        <v>56.0</v>
      </c>
      <c r="S37" s="44">
        <v>45.0</v>
      </c>
      <c r="T37" s="36">
        <v>2.0</v>
      </c>
      <c r="U37" s="41">
        <v>24.7</v>
      </c>
      <c r="V37" s="41">
        <v>75.0</v>
      </c>
      <c r="W37" s="41">
        <v>23.1</v>
      </c>
    </row>
    <row r="38">
      <c r="A38" s="36" t="s">
        <v>316</v>
      </c>
      <c r="B38" s="36" t="s">
        <v>292</v>
      </c>
      <c r="C38" s="36" t="s">
        <v>309</v>
      </c>
      <c r="D38" s="36" t="s">
        <v>86</v>
      </c>
      <c r="E38" s="36">
        <v>10.0</v>
      </c>
      <c r="F38" s="36">
        <v>38.0</v>
      </c>
      <c r="G38" s="36">
        <v>667.0</v>
      </c>
      <c r="H38" s="42">
        <f t="shared" si="1"/>
        <v>66.7</v>
      </c>
      <c r="I38" s="36">
        <v>17.6</v>
      </c>
      <c r="J38" s="36">
        <v>8.0</v>
      </c>
      <c r="K38" s="36">
        <v>0.0</v>
      </c>
      <c r="L38" s="36">
        <v>0.0</v>
      </c>
      <c r="M38" s="36">
        <v>0.0</v>
      </c>
      <c r="N38" s="36">
        <v>0.0</v>
      </c>
      <c r="O38" s="41">
        <v>0.0</v>
      </c>
      <c r="P38" s="43">
        <f t="shared" si="2"/>
        <v>13.37</v>
      </c>
      <c r="Q38" s="44">
        <v>24.0</v>
      </c>
      <c r="R38" s="44">
        <v>45.0</v>
      </c>
      <c r="S38" s="44">
        <v>39.0</v>
      </c>
      <c r="T38" s="36">
        <v>0.0</v>
      </c>
      <c r="U38" s="41">
        <v>24.3</v>
      </c>
      <c r="V38" s="41">
        <v>77.0</v>
      </c>
      <c r="W38" s="41">
        <v>21.6</v>
      </c>
    </row>
    <row r="39">
      <c r="A39" s="36" t="s">
        <v>317</v>
      </c>
      <c r="B39" s="36" t="s">
        <v>245</v>
      </c>
      <c r="C39" s="36" t="s">
        <v>309</v>
      </c>
      <c r="D39" s="36" t="s">
        <v>29</v>
      </c>
      <c r="E39" s="36">
        <v>13.0</v>
      </c>
      <c r="F39" s="36">
        <v>45.0</v>
      </c>
      <c r="G39" s="36">
        <v>718.0</v>
      </c>
      <c r="H39" s="42">
        <f t="shared" si="1"/>
        <v>55.23076923</v>
      </c>
      <c r="I39" s="36">
        <v>16.0</v>
      </c>
      <c r="J39" s="36">
        <v>5.0</v>
      </c>
      <c r="K39" s="36">
        <v>2.0</v>
      </c>
      <c r="L39" s="36">
        <v>22.0</v>
      </c>
      <c r="M39" s="36">
        <v>11.0</v>
      </c>
      <c r="N39" s="36">
        <v>0.0</v>
      </c>
      <c r="O39" s="41">
        <v>1.0</v>
      </c>
      <c r="P39" s="43">
        <f t="shared" si="2"/>
        <v>9.576923077</v>
      </c>
      <c r="Q39" s="44">
        <v>14.0</v>
      </c>
      <c r="R39" s="44">
        <v>18.0</v>
      </c>
      <c r="S39" s="44">
        <v>18.0</v>
      </c>
      <c r="T39" s="36">
        <v>10.0</v>
      </c>
      <c r="U39" s="41">
        <v>23.7</v>
      </c>
      <c r="V39" s="41">
        <v>74.0</v>
      </c>
      <c r="W39" s="41">
        <v>23.7</v>
      </c>
    </row>
    <row r="40">
      <c r="A40" s="36" t="s">
        <v>318</v>
      </c>
      <c r="B40" s="36" t="s">
        <v>54</v>
      </c>
      <c r="C40" s="36" t="s">
        <v>309</v>
      </c>
      <c r="D40" s="36" t="s">
        <v>154</v>
      </c>
      <c r="E40" s="36">
        <v>12.0</v>
      </c>
      <c r="F40" s="36">
        <v>70.0</v>
      </c>
      <c r="G40" s="36">
        <v>866.0</v>
      </c>
      <c r="H40" s="42">
        <f t="shared" si="1"/>
        <v>72.16666667</v>
      </c>
      <c r="I40" s="36">
        <v>12.4</v>
      </c>
      <c r="J40" s="36">
        <v>7.0</v>
      </c>
      <c r="K40" s="36">
        <v>4.0</v>
      </c>
      <c r="L40" s="36">
        <v>23.0</v>
      </c>
      <c r="M40" s="36">
        <v>5.8</v>
      </c>
      <c r="N40" s="36">
        <v>0.0</v>
      </c>
      <c r="O40" s="41">
        <v>1.0</v>
      </c>
      <c r="P40" s="43">
        <f t="shared" si="2"/>
        <v>13.65833333</v>
      </c>
      <c r="Q40" s="44">
        <v>26.0</v>
      </c>
      <c r="R40" s="44">
        <v>39.0</v>
      </c>
      <c r="S40" s="44">
        <v>33.0</v>
      </c>
      <c r="T40" s="36">
        <v>19.0</v>
      </c>
      <c r="U40" s="41">
        <v>23.7</v>
      </c>
      <c r="V40" s="41">
        <v>73.0</v>
      </c>
      <c r="W40" s="41">
        <v>21.1</v>
      </c>
    </row>
    <row r="41">
      <c r="A41" s="36" t="s">
        <v>319</v>
      </c>
      <c r="B41" s="36" t="s">
        <v>65</v>
      </c>
      <c r="C41" s="36" t="s">
        <v>309</v>
      </c>
      <c r="D41" s="36" t="s">
        <v>99</v>
      </c>
      <c r="E41" s="36">
        <v>13.0</v>
      </c>
      <c r="F41" s="36">
        <v>44.0</v>
      </c>
      <c r="G41" s="36">
        <v>900.0</v>
      </c>
      <c r="H41" s="42">
        <f t="shared" si="1"/>
        <v>69.23076923</v>
      </c>
      <c r="I41" s="36">
        <v>20.5</v>
      </c>
      <c r="J41" s="36">
        <v>8.0</v>
      </c>
      <c r="K41" s="36">
        <v>1.0</v>
      </c>
      <c r="L41" s="36">
        <v>-8.0</v>
      </c>
      <c r="M41" s="36">
        <v>-8.0</v>
      </c>
      <c r="N41" s="36">
        <v>0.0</v>
      </c>
      <c r="O41" s="41">
        <v>0.0</v>
      </c>
      <c r="P41" s="43">
        <f t="shared" si="2"/>
        <v>12.24615385</v>
      </c>
      <c r="Q41" s="44">
        <v>19.0</v>
      </c>
      <c r="R41" s="44">
        <v>33.0</v>
      </c>
      <c r="S41" s="44">
        <v>30.0</v>
      </c>
      <c r="T41" s="36">
        <v>29.0</v>
      </c>
      <c r="U41" s="41">
        <v>22.6</v>
      </c>
      <c r="V41" s="41">
        <v>73.0</v>
      </c>
      <c r="W41" s="41">
        <v>19.0</v>
      </c>
    </row>
    <row r="42">
      <c r="A42" s="36" t="s">
        <v>320</v>
      </c>
      <c r="B42" s="36" t="s">
        <v>183</v>
      </c>
      <c r="C42" s="36" t="s">
        <v>309</v>
      </c>
      <c r="D42" s="36" t="s">
        <v>105</v>
      </c>
      <c r="E42" s="36">
        <v>11.0</v>
      </c>
      <c r="F42" s="36">
        <v>61.0</v>
      </c>
      <c r="G42" s="36">
        <v>815.0</v>
      </c>
      <c r="H42" s="42">
        <f t="shared" si="1"/>
        <v>74.09090909</v>
      </c>
      <c r="I42" s="36">
        <v>13.4</v>
      </c>
      <c r="J42" s="36">
        <v>3.0</v>
      </c>
      <c r="K42" s="36">
        <v>0.0</v>
      </c>
      <c r="L42" s="36">
        <v>0.0</v>
      </c>
      <c r="M42" s="36">
        <v>0.0</v>
      </c>
      <c r="N42" s="36">
        <v>0.0</v>
      </c>
      <c r="O42" s="41">
        <v>0.0</v>
      </c>
      <c r="P42" s="43">
        <f t="shared" si="2"/>
        <v>11.81818182</v>
      </c>
      <c r="Q42" s="44">
        <v>26.0</v>
      </c>
      <c r="R42" s="44">
        <v>14.0</v>
      </c>
      <c r="S42" s="44">
        <v>22.0</v>
      </c>
      <c r="T42" s="36">
        <v>4.0</v>
      </c>
      <c r="U42" s="41">
        <v>22.7</v>
      </c>
      <c r="V42" s="41">
        <v>74.0</v>
      </c>
      <c r="W42" s="41">
        <v>20.1</v>
      </c>
    </row>
    <row r="43">
      <c r="A43" s="36" t="s">
        <v>321</v>
      </c>
      <c r="B43" s="36" t="s">
        <v>89</v>
      </c>
      <c r="C43" s="36" t="s">
        <v>309</v>
      </c>
      <c r="D43" s="36" t="s">
        <v>86</v>
      </c>
      <c r="E43" s="36">
        <v>12.0</v>
      </c>
      <c r="F43" s="36">
        <v>68.0</v>
      </c>
      <c r="G43" s="36">
        <v>928.0</v>
      </c>
      <c r="H43" s="42">
        <f t="shared" si="1"/>
        <v>77.33333333</v>
      </c>
      <c r="I43" s="36">
        <v>13.6</v>
      </c>
      <c r="J43" s="36">
        <v>6.0</v>
      </c>
      <c r="K43" s="36">
        <v>3.0</v>
      </c>
      <c r="L43" s="36">
        <v>10.0</v>
      </c>
      <c r="M43" s="36">
        <v>3.3</v>
      </c>
      <c r="N43" s="36">
        <v>1.0</v>
      </c>
      <c r="O43" s="41">
        <v>3.0</v>
      </c>
      <c r="P43" s="43">
        <f t="shared" si="2"/>
        <v>13.65</v>
      </c>
      <c r="Q43" s="44">
        <v>26.0</v>
      </c>
      <c r="R43" s="44">
        <v>28.0</v>
      </c>
      <c r="S43" s="44">
        <v>29.0</v>
      </c>
      <c r="T43" s="36">
        <v>0.0</v>
      </c>
      <c r="U43" s="41">
        <v>24.1</v>
      </c>
      <c r="V43" s="41">
        <v>73.0</v>
      </c>
      <c r="W43" s="41">
        <v>21.4</v>
      </c>
    </row>
    <row r="44">
      <c r="A44" s="36" t="s">
        <v>322</v>
      </c>
      <c r="B44" s="36" t="s">
        <v>75</v>
      </c>
      <c r="C44" s="36" t="s">
        <v>309</v>
      </c>
      <c r="D44" s="36" t="s">
        <v>108</v>
      </c>
      <c r="E44" s="36">
        <v>12.0</v>
      </c>
      <c r="F44" s="36">
        <v>59.0</v>
      </c>
      <c r="G44" s="36">
        <v>831.0</v>
      </c>
      <c r="H44" s="42">
        <f t="shared" si="1"/>
        <v>69.25</v>
      </c>
      <c r="I44" s="36">
        <v>14.1</v>
      </c>
      <c r="J44" s="36">
        <v>8.0</v>
      </c>
      <c r="K44" s="36">
        <v>1.0</v>
      </c>
      <c r="L44" s="36">
        <v>-5.0</v>
      </c>
      <c r="M44" s="36">
        <v>-5.0</v>
      </c>
      <c r="N44" s="36">
        <v>0.0</v>
      </c>
      <c r="O44" s="41">
        <v>0.0</v>
      </c>
      <c r="P44" s="43">
        <f t="shared" si="2"/>
        <v>13.34166667</v>
      </c>
      <c r="Q44" s="44">
        <v>39.0</v>
      </c>
      <c r="R44" s="44">
        <v>54.0</v>
      </c>
      <c r="S44" s="44">
        <v>51.0</v>
      </c>
      <c r="T44" s="36">
        <v>18.0</v>
      </c>
      <c r="U44" s="41">
        <v>23.0</v>
      </c>
      <c r="V44" s="41">
        <v>72.0</v>
      </c>
      <c r="W44" s="41">
        <v>20.4</v>
      </c>
    </row>
    <row r="45">
      <c r="A45" s="36" t="s">
        <v>323</v>
      </c>
      <c r="B45" s="36" t="s">
        <v>183</v>
      </c>
      <c r="C45" s="36" t="s">
        <v>309</v>
      </c>
      <c r="D45" s="36" t="s">
        <v>99</v>
      </c>
      <c r="E45" s="36">
        <v>13.0</v>
      </c>
      <c r="F45" s="36">
        <v>57.0</v>
      </c>
      <c r="G45" s="36">
        <v>864.0</v>
      </c>
      <c r="H45" s="42">
        <f t="shared" si="1"/>
        <v>66.46153846</v>
      </c>
      <c r="I45" s="36">
        <v>15.2</v>
      </c>
      <c r="J45" s="36">
        <v>8.0</v>
      </c>
      <c r="K45" s="36">
        <v>1.0</v>
      </c>
      <c r="L45" s="36">
        <v>14.0</v>
      </c>
      <c r="M45" s="36">
        <v>14.0</v>
      </c>
      <c r="N45" s="36">
        <v>0.0</v>
      </c>
      <c r="O45" s="41">
        <v>1.0</v>
      </c>
      <c r="P45" s="43">
        <f t="shared" si="2"/>
        <v>12.48461538</v>
      </c>
      <c r="Q45" s="44">
        <v>20.0</v>
      </c>
      <c r="R45" s="44">
        <v>35.0</v>
      </c>
      <c r="S45" s="44">
        <v>30.0</v>
      </c>
      <c r="T45" s="36">
        <v>29.0</v>
      </c>
      <c r="U45" s="41">
        <v>22.2</v>
      </c>
      <c r="V45" s="41">
        <v>71.0</v>
      </c>
      <c r="W45" s="41">
        <v>20.6</v>
      </c>
    </row>
    <row r="46">
      <c r="A46" s="36" t="s">
        <v>324</v>
      </c>
      <c r="B46" s="36" t="s">
        <v>51</v>
      </c>
      <c r="C46" s="36" t="s">
        <v>309</v>
      </c>
      <c r="D46" s="36" t="s">
        <v>86</v>
      </c>
      <c r="E46" s="36">
        <v>10.0</v>
      </c>
      <c r="F46" s="36">
        <v>38.0</v>
      </c>
      <c r="G46" s="36">
        <v>510.0</v>
      </c>
      <c r="H46" s="42">
        <f t="shared" si="1"/>
        <v>51</v>
      </c>
      <c r="I46" s="36">
        <v>13.4</v>
      </c>
      <c r="J46" s="36">
        <v>3.0</v>
      </c>
      <c r="K46" s="36">
        <v>0.0</v>
      </c>
      <c r="L46" s="36">
        <v>0.0</v>
      </c>
      <c r="M46" s="36">
        <v>0.0</v>
      </c>
      <c r="N46" s="36">
        <v>0.0</v>
      </c>
      <c r="O46" s="41">
        <v>0.0</v>
      </c>
      <c r="P46" s="43">
        <f t="shared" si="2"/>
        <v>8.8</v>
      </c>
      <c r="Q46" s="44">
        <v>16.0</v>
      </c>
      <c r="R46" s="44">
        <v>19.0</v>
      </c>
      <c r="S46" s="44">
        <v>20.0</v>
      </c>
      <c r="T46" s="36">
        <v>0.0</v>
      </c>
      <c r="U46" s="41">
        <v>22.4</v>
      </c>
      <c r="V46" s="41">
        <v>75.0</v>
      </c>
      <c r="W46" s="41">
        <v>18.7</v>
      </c>
    </row>
    <row r="47">
      <c r="A47" s="36" t="s">
        <v>325</v>
      </c>
      <c r="B47" s="36" t="s">
        <v>97</v>
      </c>
      <c r="C47" s="36" t="s">
        <v>309</v>
      </c>
      <c r="D47" s="36" t="s">
        <v>69</v>
      </c>
      <c r="E47" s="36">
        <v>12.0</v>
      </c>
      <c r="F47" s="36">
        <v>61.0</v>
      </c>
      <c r="G47" s="36">
        <v>1013.0</v>
      </c>
      <c r="H47" s="42">
        <f t="shared" si="1"/>
        <v>84.41666667</v>
      </c>
      <c r="I47" s="36">
        <v>16.6</v>
      </c>
      <c r="J47" s="36">
        <v>9.0</v>
      </c>
      <c r="K47" s="36">
        <v>0.0</v>
      </c>
      <c r="L47" s="36">
        <v>0.0</v>
      </c>
      <c r="M47" s="36">
        <v>0.0</v>
      </c>
      <c r="N47" s="36">
        <v>0.0</v>
      </c>
      <c r="O47" s="41">
        <v>0.0</v>
      </c>
      <c r="P47" s="43">
        <f t="shared" si="2"/>
        <v>15.48333333</v>
      </c>
      <c r="Q47" s="44">
        <v>24.0</v>
      </c>
      <c r="R47" s="44">
        <v>38.0</v>
      </c>
      <c r="S47" s="44">
        <v>34.0</v>
      </c>
      <c r="T47" s="36">
        <v>24.0</v>
      </c>
      <c r="U47" s="41" t="s">
        <v>326</v>
      </c>
      <c r="V47" s="41">
        <v>74.0</v>
      </c>
      <c r="W47" s="41" t="s">
        <v>326</v>
      </c>
    </row>
    <row r="48">
      <c r="A48" s="36" t="s">
        <v>327</v>
      </c>
      <c r="B48" s="36" t="s">
        <v>166</v>
      </c>
      <c r="C48" s="36" t="s">
        <v>309</v>
      </c>
      <c r="D48" s="36" t="s">
        <v>52</v>
      </c>
      <c r="E48" s="36">
        <v>13.0</v>
      </c>
      <c r="F48" s="36">
        <v>69.0</v>
      </c>
      <c r="G48" s="36">
        <v>1083.0</v>
      </c>
      <c r="H48" s="42">
        <f t="shared" si="1"/>
        <v>83.30769231</v>
      </c>
      <c r="I48" s="36">
        <v>15.7</v>
      </c>
      <c r="J48" s="36">
        <v>4.0</v>
      </c>
      <c r="K48" s="36">
        <v>2.0</v>
      </c>
      <c r="L48" s="36">
        <v>2.0</v>
      </c>
      <c r="M48" s="36">
        <v>1.0</v>
      </c>
      <c r="N48" s="36">
        <v>0.0</v>
      </c>
      <c r="O48" s="41">
        <v>0.0</v>
      </c>
      <c r="P48" s="43">
        <f t="shared" si="2"/>
        <v>12.84615385</v>
      </c>
      <c r="Q48" s="44">
        <v>22.0</v>
      </c>
      <c r="R48" s="44">
        <v>12.0</v>
      </c>
      <c r="S48" s="44">
        <v>19.0</v>
      </c>
      <c r="T48" s="36">
        <v>13.0</v>
      </c>
      <c r="U48" s="41">
        <v>22.2</v>
      </c>
      <c r="V48" s="41">
        <v>74.0</v>
      </c>
      <c r="W48" s="41">
        <v>22.2</v>
      </c>
    </row>
    <row r="49">
      <c r="A49" s="36" t="s">
        <v>328</v>
      </c>
      <c r="B49" s="36" t="s">
        <v>141</v>
      </c>
      <c r="C49" s="36" t="s">
        <v>309</v>
      </c>
      <c r="D49" s="36" t="s">
        <v>83</v>
      </c>
      <c r="E49" s="36">
        <v>11.0</v>
      </c>
      <c r="F49" s="36">
        <v>78.0</v>
      </c>
      <c r="G49" s="36">
        <v>1140.0</v>
      </c>
      <c r="H49" s="42">
        <f t="shared" si="1"/>
        <v>103.6363636</v>
      </c>
      <c r="I49" s="36">
        <v>14.6</v>
      </c>
      <c r="J49" s="36">
        <v>1.0</v>
      </c>
      <c r="K49" s="36">
        <v>0.0</v>
      </c>
      <c r="L49" s="36">
        <v>0.0</v>
      </c>
      <c r="M49" s="36">
        <v>0.0</v>
      </c>
      <c r="N49" s="36">
        <v>0.0</v>
      </c>
      <c r="O49" s="41">
        <v>1.0</v>
      </c>
      <c r="P49" s="43">
        <f t="shared" si="2"/>
        <v>14.27272727</v>
      </c>
      <c r="Q49" s="44">
        <v>36.0</v>
      </c>
      <c r="R49" s="44">
        <v>7.0</v>
      </c>
      <c r="S49" s="44">
        <v>22.0</v>
      </c>
      <c r="T49" s="36">
        <v>4.0</v>
      </c>
      <c r="U49" s="41">
        <v>24.5</v>
      </c>
      <c r="V49" s="41">
        <v>76.0</v>
      </c>
      <c r="W49" s="41">
        <v>22.8</v>
      </c>
    </row>
    <row r="50">
      <c r="A50" s="41"/>
      <c r="B50" s="41"/>
      <c r="C50" s="41"/>
      <c r="D50" s="41"/>
      <c r="E50" s="41"/>
      <c r="F50" s="41"/>
      <c r="G50" s="41"/>
      <c r="H50" s="43"/>
      <c r="I50" s="41"/>
      <c r="J50" s="41"/>
      <c r="K50" s="41"/>
      <c r="L50" s="41"/>
      <c r="M50" s="41"/>
      <c r="N50" s="41"/>
      <c r="O50" s="41"/>
      <c r="P50" s="43"/>
      <c r="Q50" s="41"/>
      <c r="R50" s="41"/>
      <c r="S50" s="41"/>
      <c r="T50" s="41"/>
      <c r="U50" s="41"/>
      <c r="V50" s="41"/>
      <c r="W50" s="41"/>
    </row>
    <row r="51">
      <c r="A51" s="41"/>
      <c r="B51" s="41"/>
      <c r="C51" s="41"/>
      <c r="D51" s="41"/>
      <c r="E51" s="41"/>
      <c r="F51" s="41"/>
      <c r="G51" s="41"/>
      <c r="H51" s="43"/>
      <c r="I51" s="41"/>
      <c r="J51" s="41"/>
      <c r="K51" s="41"/>
      <c r="L51" s="41"/>
      <c r="M51" s="41"/>
      <c r="N51" s="41"/>
      <c r="O51" s="41"/>
      <c r="P51" s="43"/>
      <c r="Q51" s="41"/>
      <c r="R51" s="41"/>
      <c r="S51" s="41"/>
      <c r="T51" s="41"/>
      <c r="U51" s="41"/>
      <c r="V51" s="41"/>
      <c r="W51" s="41"/>
    </row>
    <row r="52">
      <c r="A52" s="41"/>
      <c r="B52" s="41"/>
      <c r="C52" s="41"/>
      <c r="D52" s="41"/>
      <c r="E52" s="41"/>
      <c r="F52" s="41"/>
      <c r="G52" s="41"/>
      <c r="H52" s="43"/>
      <c r="I52" s="41"/>
      <c r="J52" s="41"/>
      <c r="K52" s="41"/>
      <c r="L52" s="41"/>
      <c r="M52" s="41"/>
      <c r="N52" s="41"/>
      <c r="O52" s="41"/>
      <c r="P52" s="43"/>
      <c r="Q52" s="41"/>
      <c r="R52" s="41"/>
      <c r="S52" s="41"/>
      <c r="T52" s="41"/>
      <c r="U52" s="41"/>
      <c r="V52" s="41"/>
      <c r="W52" s="41"/>
    </row>
    <row r="53">
      <c r="A53" s="41"/>
      <c r="B53" s="41"/>
      <c r="C53" s="41"/>
      <c r="D53" s="41"/>
      <c r="E53" s="41"/>
      <c r="F53" s="41"/>
      <c r="G53" s="41"/>
      <c r="H53" s="43"/>
      <c r="I53" s="41"/>
      <c r="J53" s="41"/>
      <c r="K53" s="41"/>
      <c r="L53" s="41"/>
      <c r="M53" s="41"/>
      <c r="N53" s="41"/>
      <c r="O53" s="41"/>
      <c r="P53" s="43"/>
      <c r="Q53" s="41"/>
      <c r="R53" s="41"/>
      <c r="S53" s="41"/>
      <c r="T53" s="41"/>
      <c r="U53" s="41"/>
      <c r="V53" s="41"/>
      <c r="W53" s="41"/>
    </row>
    <row r="54">
      <c r="A54" s="41"/>
      <c r="B54" s="41"/>
      <c r="C54" s="41"/>
      <c r="D54" s="41"/>
      <c r="E54" s="41"/>
      <c r="F54" s="41"/>
      <c r="G54" s="41"/>
      <c r="H54" s="43"/>
      <c r="I54" s="41"/>
      <c r="J54" s="41"/>
      <c r="K54" s="41"/>
      <c r="L54" s="41"/>
      <c r="M54" s="41"/>
      <c r="N54" s="41"/>
      <c r="O54" s="41"/>
      <c r="P54" s="43"/>
      <c r="Q54" s="41"/>
      <c r="R54" s="41"/>
      <c r="S54" s="41"/>
      <c r="T54" s="41"/>
      <c r="U54" s="41"/>
      <c r="V54" s="41"/>
      <c r="W54" s="41"/>
    </row>
    <row r="55">
      <c r="A55" s="41"/>
      <c r="B55" s="41"/>
      <c r="C55" s="41"/>
      <c r="D55" s="41"/>
      <c r="E55" s="41"/>
      <c r="F55" s="41"/>
      <c r="G55" s="41"/>
      <c r="H55" s="43"/>
      <c r="I55" s="41"/>
      <c r="J55" s="41"/>
      <c r="K55" s="41"/>
      <c r="L55" s="41"/>
      <c r="M55" s="41"/>
      <c r="N55" s="41"/>
      <c r="O55" s="41"/>
      <c r="P55" s="43"/>
      <c r="Q55" s="41"/>
      <c r="R55" s="41"/>
      <c r="S55" s="41"/>
      <c r="T55" s="41"/>
      <c r="U55" s="41"/>
      <c r="V55" s="41"/>
      <c r="W55" s="41"/>
    </row>
    <row r="56">
      <c r="A56" s="41"/>
      <c r="B56" s="41"/>
      <c r="C56" s="41"/>
      <c r="D56" s="41"/>
      <c r="E56" s="41"/>
      <c r="F56" s="41"/>
      <c r="G56" s="41"/>
      <c r="H56" s="43"/>
      <c r="I56" s="41"/>
      <c r="J56" s="41"/>
      <c r="K56" s="41"/>
      <c r="L56" s="41"/>
      <c r="M56" s="41"/>
      <c r="N56" s="41"/>
      <c r="O56" s="41"/>
      <c r="P56" s="43"/>
      <c r="Q56" s="41"/>
      <c r="R56" s="41"/>
      <c r="S56" s="41"/>
      <c r="T56" s="41"/>
      <c r="U56" s="41"/>
      <c r="V56" s="41"/>
      <c r="W56" s="41"/>
    </row>
    <row r="57">
      <c r="A57" s="41"/>
      <c r="B57" s="41"/>
      <c r="C57" s="41"/>
      <c r="D57" s="41"/>
      <c r="E57" s="41"/>
      <c r="F57" s="41"/>
      <c r="G57" s="41"/>
      <c r="H57" s="43"/>
      <c r="I57" s="41"/>
      <c r="J57" s="41"/>
      <c r="K57" s="41"/>
      <c r="L57" s="41"/>
      <c r="M57" s="41"/>
      <c r="N57" s="41"/>
      <c r="O57" s="41"/>
      <c r="P57" s="43"/>
      <c r="Q57" s="41"/>
      <c r="R57" s="41"/>
      <c r="S57" s="41"/>
      <c r="T57" s="41"/>
      <c r="U57" s="41"/>
      <c r="V57" s="41"/>
      <c r="W57" s="41"/>
    </row>
    <row r="58">
      <c r="A58" s="41"/>
      <c r="B58" s="41"/>
      <c r="C58" s="41"/>
      <c r="D58" s="41"/>
      <c r="E58" s="41"/>
      <c r="F58" s="41"/>
      <c r="G58" s="41"/>
      <c r="H58" s="43"/>
      <c r="I58" s="41"/>
      <c r="J58" s="41"/>
      <c r="K58" s="41"/>
      <c r="L58" s="41"/>
      <c r="M58" s="41"/>
      <c r="N58" s="41"/>
      <c r="O58" s="41"/>
      <c r="P58" s="43"/>
      <c r="Q58" s="41"/>
      <c r="R58" s="41"/>
      <c r="S58" s="41"/>
      <c r="T58" s="41"/>
      <c r="U58" s="41"/>
      <c r="V58" s="41"/>
      <c r="W58" s="41"/>
    </row>
    <row r="59">
      <c r="A59" s="41"/>
      <c r="B59" s="41"/>
      <c r="C59" s="41"/>
      <c r="D59" s="41"/>
      <c r="E59" s="41"/>
      <c r="F59" s="41"/>
      <c r="G59" s="41"/>
      <c r="H59" s="43"/>
      <c r="I59" s="41"/>
      <c r="J59" s="41"/>
      <c r="K59" s="41"/>
      <c r="L59" s="41"/>
      <c r="M59" s="41"/>
      <c r="N59" s="41"/>
      <c r="O59" s="41"/>
      <c r="P59" s="43"/>
      <c r="Q59" s="41"/>
      <c r="R59" s="41"/>
      <c r="S59" s="41"/>
      <c r="T59" s="41"/>
      <c r="U59" s="41"/>
      <c r="V59" s="41"/>
      <c r="W59" s="41"/>
    </row>
    <row r="60">
      <c r="A60" s="41"/>
      <c r="B60" s="41"/>
      <c r="C60" s="41"/>
      <c r="D60" s="41"/>
      <c r="E60" s="41"/>
      <c r="F60" s="41"/>
      <c r="G60" s="41"/>
      <c r="H60" s="43"/>
      <c r="I60" s="41"/>
      <c r="J60" s="41"/>
      <c r="K60" s="41"/>
      <c r="L60" s="41"/>
      <c r="M60" s="41"/>
      <c r="N60" s="41"/>
      <c r="O60" s="41"/>
      <c r="P60" s="43"/>
      <c r="Q60" s="41"/>
      <c r="R60" s="41"/>
      <c r="S60" s="41"/>
      <c r="T60" s="41"/>
      <c r="U60" s="41"/>
      <c r="V60" s="41"/>
      <c r="W60" s="41"/>
    </row>
    <row r="61">
      <c r="A61" s="41"/>
      <c r="B61" s="41"/>
      <c r="C61" s="41"/>
      <c r="D61" s="41"/>
      <c r="E61" s="41"/>
      <c r="F61" s="41"/>
      <c r="G61" s="41"/>
      <c r="H61" s="43"/>
      <c r="I61" s="41"/>
      <c r="J61" s="41"/>
      <c r="K61" s="41"/>
      <c r="L61" s="41"/>
      <c r="M61" s="41"/>
      <c r="N61" s="41"/>
      <c r="O61" s="41"/>
      <c r="P61" s="43"/>
      <c r="Q61" s="41"/>
      <c r="R61" s="41"/>
      <c r="S61" s="41"/>
      <c r="T61" s="41"/>
      <c r="U61" s="41"/>
      <c r="V61" s="41"/>
      <c r="W61" s="41"/>
    </row>
    <row r="62">
      <c r="A62" s="41"/>
      <c r="B62" s="41"/>
      <c r="C62" s="41"/>
      <c r="D62" s="41"/>
      <c r="E62" s="41"/>
      <c r="F62" s="41"/>
      <c r="G62" s="41"/>
      <c r="H62" s="43"/>
      <c r="I62" s="41"/>
      <c r="J62" s="41"/>
      <c r="K62" s="41"/>
      <c r="L62" s="41"/>
      <c r="M62" s="41"/>
      <c r="N62" s="41"/>
      <c r="O62" s="41"/>
      <c r="P62" s="43"/>
      <c r="Q62" s="41"/>
      <c r="R62" s="41"/>
      <c r="S62" s="41"/>
      <c r="T62" s="41"/>
      <c r="U62" s="41"/>
      <c r="V62" s="41"/>
      <c r="W62" s="41"/>
    </row>
    <row r="63">
      <c r="A63" s="41"/>
      <c r="B63" s="41"/>
      <c r="C63" s="41"/>
      <c r="D63" s="41"/>
      <c r="E63" s="41"/>
      <c r="F63" s="41"/>
      <c r="G63" s="41"/>
      <c r="H63" s="43"/>
      <c r="I63" s="41"/>
      <c r="J63" s="41"/>
      <c r="K63" s="41"/>
      <c r="L63" s="41"/>
      <c r="M63" s="41"/>
      <c r="N63" s="41"/>
      <c r="O63" s="41"/>
      <c r="P63" s="43"/>
      <c r="Q63" s="41"/>
      <c r="R63" s="41"/>
      <c r="S63" s="41"/>
      <c r="T63" s="41"/>
      <c r="U63" s="41"/>
      <c r="V63" s="41"/>
      <c r="W63" s="41"/>
    </row>
    <row r="64">
      <c r="A64" s="41"/>
      <c r="B64" s="41"/>
      <c r="C64" s="41"/>
      <c r="D64" s="41"/>
      <c r="E64" s="41"/>
      <c r="F64" s="41"/>
      <c r="G64" s="41"/>
      <c r="H64" s="43"/>
      <c r="I64" s="41"/>
      <c r="J64" s="41"/>
      <c r="K64" s="41"/>
      <c r="L64" s="41"/>
      <c r="M64" s="41"/>
      <c r="N64" s="41"/>
      <c r="O64" s="41"/>
      <c r="P64" s="43"/>
      <c r="Q64" s="41"/>
      <c r="R64" s="41"/>
      <c r="S64" s="41"/>
      <c r="T64" s="41"/>
      <c r="U64" s="41"/>
      <c r="V64" s="41"/>
      <c r="W64" s="41"/>
    </row>
    <row r="65">
      <c r="A65" s="41"/>
      <c r="B65" s="41"/>
      <c r="C65" s="41"/>
      <c r="D65" s="41"/>
      <c r="E65" s="41"/>
      <c r="F65" s="41"/>
      <c r="G65" s="41"/>
      <c r="H65" s="43"/>
      <c r="I65" s="41"/>
      <c r="J65" s="41"/>
      <c r="K65" s="41"/>
      <c r="L65" s="41"/>
      <c r="M65" s="41"/>
      <c r="N65" s="41"/>
      <c r="O65" s="41"/>
      <c r="P65" s="43"/>
      <c r="Q65" s="41"/>
      <c r="R65" s="41"/>
      <c r="S65" s="41"/>
      <c r="T65" s="41"/>
      <c r="U65" s="41"/>
      <c r="V65" s="41"/>
      <c r="W65" s="41"/>
    </row>
    <row r="66">
      <c r="A66" s="41"/>
      <c r="B66" s="41"/>
      <c r="C66" s="41"/>
      <c r="D66" s="41"/>
      <c r="E66" s="41"/>
      <c r="F66" s="41"/>
      <c r="G66" s="41"/>
      <c r="H66" s="43"/>
      <c r="I66" s="41"/>
      <c r="J66" s="41"/>
      <c r="K66" s="41"/>
      <c r="L66" s="41"/>
      <c r="M66" s="41"/>
      <c r="N66" s="41"/>
      <c r="O66" s="41"/>
      <c r="P66" s="43"/>
      <c r="Q66" s="41"/>
      <c r="R66" s="41"/>
      <c r="S66" s="41"/>
      <c r="T66" s="41"/>
      <c r="U66" s="41"/>
      <c r="V66" s="41"/>
      <c r="W66" s="41"/>
    </row>
    <row r="67">
      <c r="A67" s="41"/>
      <c r="B67" s="41"/>
      <c r="C67" s="41"/>
      <c r="D67" s="41"/>
      <c r="E67" s="41"/>
      <c r="F67" s="41"/>
      <c r="G67" s="41"/>
      <c r="H67" s="43"/>
      <c r="I67" s="41"/>
      <c r="J67" s="41"/>
      <c r="K67" s="41"/>
      <c r="L67" s="41"/>
      <c r="M67" s="41"/>
      <c r="N67" s="41"/>
      <c r="O67" s="41"/>
      <c r="P67" s="43"/>
      <c r="Q67" s="41"/>
      <c r="R67" s="41"/>
      <c r="S67" s="41"/>
      <c r="T67" s="41"/>
      <c r="U67" s="41"/>
      <c r="V67" s="41"/>
      <c r="W67" s="41"/>
    </row>
    <row r="68">
      <c r="A68" s="41"/>
      <c r="B68" s="41"/>
      <c r="C68" s="41"/>
      <c r="D68" s="41"/>
      <c r="E68" s="41"/>
      <c r="F68" s="41"/>
      <c r="G68" s="41"/>
      <c r="H68" s="43"/>
      <c r="I68" s="41"/>
      <c r="J68" s="41"/>
      <c r="K68" s="41"/>
      <c r="L68" s="41"/>
      <c r="M68" s="41"/>
      <c r="N68" s="41"/>
      <c r="O68" s="41"/>
      <c r="P68" s="43"/>
      <c r="Q68" s="41"/>
      <c r="R68" s="41"/>
      <c r="S68" s="41"/>
      <c r="T68" s="41"/>
      <c r="U68" s="41"/>
      <c r="V68" s="41"/>
      <c r="W68" s="41"/>
    </row>
    <row r="69">
      <c r="A69" s="41"/>
      <c r="B69" s="41"/>
      <c r="C69" s="41"/>
      <c r="D69" s="41"/>
      <c r="E69" s="41"/>
      <c r="F69" s="41"/>
      <c r="G69" s="41"/>
      <c r="H69" s="43"/>
      <c r="I69" s="41"/>
      <c r="J69" s="41"/>
      <c r="K69" s="41"/>
      <c r="L69" s="41"/>
      <c r="M69" s="41"/>
      <c r="N69" s="41"/>
      <c r="O69" s="41"/>
      <c r="P69" s="43"/>
      <c r="Q69" s="41"/>
      <c r="R69" s="41"/>
      <c r="S69" s="41"/>
      <c r="T69" s="41"/>
      <c r="U69" s="41"/>
      <c r="V69" s="41"/>
      <c r="W69" s="41"/>
    </row>
    <row r="70">
      <c r="A70" s="41"/>
      <c r="B70" s="41"/>
      <c r="C70" s="41"/>
      <c r="D70" s="41"/>
      <c r="E70" s="41"/>
      <c r="F70" s="41"/>
      <c r="G70" s="41"/>
      <c r="H70" s="43"/>
      <c r="I70" s="41"/>
      <c r="J70" s="41"/>
      <c r="K70" s="41"/>
      <c r="L70" s="41"/>
      <c r="M70" s="41"/>
      <c r="N70" s="41"/>
      <c r="O70" s="41"/>
      <c r="P70" s="43"/>
      <c r="Q70" s="41"/>
      <c r="R70" s="41"/>
      <c r="S70" s="41"/>
      <c r="T70" s="41"/>
      <c r="U70" s="41"/>
      <c r="V70" s="41"/>
      <c r="W70" s="41"/>
    </row>
    <row r="71">
      <c r="A71" s="41"/>
      <c r="B71" s="41"/>
      <c r="C71" s="41"/>
      <c r="D71" s="41"/>
      <c r="E71" s="41"/>
      <c r="F71" s="41"/>
      <c r="G71" s="41"/>
      <c r="H71" s="43"/>
      <c r="I71" s="41"/>
      <c r="J71" s="41"/>
      <c r="K71" s="41"/>
      <c r="L71" s="41"/>
      <c r="M71" s="41"/>
      <c r="N71" s="41"/>
      <c r="O71" s="41"/>
      <c r="P71" s="43"/>
      <c r="Q71" s="41"/>
      <c r="R71" s="41"/>
      <c r="S71" s="41"/>
      <c r="T71" s="41"/>
      <c r="U71" s="41"/>
      <c r="V71" s="41"/>
      <c r="W71" s="41"/>
    </row>
    <row r="72">
      <c r="A72" s="41"/>
      <c r="B72" s="41"/>
      <c r="C72" s="41"/>
      <c r="D72" s="41"/>
      <c r="E72" s="41"/>
      <c r="F72" s="41"/>
      <c r="G72" s="41"/>
      <c r="H72" s="43"/>
      <c r="I72" s="41"/>
      <c r="J72" s="41"/>
      <c r="K72" s="41"/>
      <c r="L72" s="41"/>
      <c r="M72" s="41"/>
      <c r="N72" s="41"/>
      <c r="O72" s="41"/>
      <c r="P72" s="43"/>
      <c r="Q72" s="41"/>
      <c r="R72" s="41"/>
      <c r="S72" s="41"/>
      <c r="T72" s="41"/>
      <c r="U72" s="41"/>
      <c r="V72" s="41"/>
      <c r="W72" s="41"/>
    </row>
    <row r="73">
      <c r="A73" s="41"/>
      <c r="B73" s="41"/>
      <c r="C73" s="41"/>
      <c r="D73" s="41"/>
      <c r="E73" s="41"/>
      <c r="F73" s="41"/>
      <c r="G73" s="41"/>
      <c r="H73" s="43"/>
      <c r="I73" s="41"/>
      <c r="J73" s="41"/>
      <c r="K73" s="41"/>
      <c r="L73" s="41"/>
      <c r="M73" s="41"/>
      <c r="N73" s="41"/>
      <c r="O73" s="41"/>
      <c r="P73" s="43"/>
      <c r="Q73" s="41"/>
      <c r="R73" s="41"/>
      <c r="S73" s="41"/>
      <c r="T73" s="41"/>
      <c r="U73" s="41"/>
      <c r="V73" s="41"/>
      <c r="W73" s="41"/>
    </row>
    <row r="74">
      <c r="A74" s="41"/>
      <c r="B74" s="41"/>
      <c r="C74" s="41"/>
      <c r="D74" s="41"/>
      <c r="E74" s="41"/>
      <c r="F74" s="41"/>
      <c r="G74" s="41"/>
      <c r="H74" s="43"/>
      <c r="I74" s="41"/>
      <c r="J74" s="41"/>
      <c r="K74" s="41"/>
      <c r="L74" s="41"/>
      <c r="M74" s="41"/>
      <c r="N74" s="41"/>
      <c r="O74" s="41"/>
      <c r="P74" s="43"/>
      <c r="Q74" s="41"/>
      <c r="R74" s="41"/>
      <c r="S74" s="41"/>
      <c r="T74" s="41"/>
      <c r="U74" s="41"/>
      <c r="V74" s="41"/>
      <c r="W74" s="41"/>
    </row>
    <row r="75">
      <c r="A75" s="41"/>
      <c r="B75" s="41"/>
      <c r="C75" s="41"/>
      <c r="D75" s="41"/>
      <c r="E75" s="41"/>
      <c r="F75" s="41"/>
      <c r="G75" s="41"/>
      <c r="H75" s="43"/>
      <c r="I75" s="41"/>
      <c r="J75" s="41"/>
      <c r="K75" s="41"/>
      <c r="L75" s="41"/>
      <c r="M75" s="41"/>
      <c r="N75" s="41"/>
      <c r="O75" s="41"/>
      <c r="P75" s="43"/>
      <c r="Q75" s="41"/>
      <c r="R75" s="41"/>
      <c r="S75" s="41"/>
      <c r="T75" s="41"/>
      <c r="U75" s="41"/>
      <c r="V75" s="41"/>
      <c r="W75" s="41"/>
    </row>
    <row r="76">
      <c r="A76" s="41"/>
      <c r="B76" s="41"/>
      <c r="C76" s="41"/>
      <c r="D76" s="41"/>
      <c r="E76" s="41"/>
      <c r="F76" s="41"/>
      <c r="G76" s="41"/>
      <c r="H76" s="43"/>
      <c r="I76" s="41"/>
      <c r="J76" s="41"/>
      <c r="K76" s="41"/>
      <c r="L76" s="41"/>
      <c r="M76" s="41"/>
      <c r="N76" s="41"/>
      <c r="O76" s="41"/>
      <c r="P76" s="43"/>
      <c r="Q76" s="41"/>
      <c r="R76" s="41"/>
      <c r="S76" s="41"/>
      <c r="T76" s="41"/>
      <c r="U76" s="41"/>
      <c r="V76" s="41"/>
      <c r="W76" s="41"/>
    </row>
    <row r="77">
      <c r="A77" s="41"/>
      <c r="B77" s="41"/>
      <c r="C77" s="41"/>
      <c r="D77" s="41"/>
      <c r="E77" s="41"/>
      <c r="F77" s="41"/>
      <c r="G77" s="41"/>
      <c r="H77" s="43"/>
      <c r="I77" s="41"/>
      <c r="J77" s="41"/>
      <c r="K77" s="41"/>
      <c r="L77" s="41"/>
      <c r="M77" s="41"/>
      <c r="N77" s="41"/>
      <c r="O77" s="41"/>
      <c r="P77" s="43"/>
      <c r="Q77" s="41"/>
      <c r="R77" s="41"/>
      <c r="S77" s="41"/>
      <c r="T77" s="41"/>
      <c r="U77" s="41"/>
      <c r="V77" s="41"/>
      <c r="W77" s="41"/>
    </row>
    <row r="78">
      <c r="A78" s="41"/>
      <c r="B78" s="41"/>
      <c r="C78" s="41"/>
      <c r="D78" s="41"/>
      <c r="E78" s="41"/>
      <c r="F78" s="41"/>
      <c r="G78" s="41"/>
      <c r="H78" s="43"/>
      <c r="I78" s="41"/>
      <c r="J78" s="41"/>
      <c r="K78" s="41"/>
      <c r="L78" s="41"/>
      <c r="M78" s="41"/>
      <c r="N78" s="41"/>
      <c r="O78" s="41"/>
      <c r="P78" s="43"/>
      <c r="Q78" s="41"/>
      <c r="R78" s="41"/>
      <c r="S78" s="41"/>
      <c r="T78" s="41"/>
      <c r="U78" s="41"/>
      <c r="V78" s="41"/>
      <c r="W78" s="41"/>
    </row>
    <row r="79">
      <c r="A79" s="41"/>
      <c r="B79" s="41"/>
      <c r="C79" s="41"/>
      <c r="D79" s="41"/>
      <c r="E79" s="41"/>
      <c r="F79" s="41"/>
      <c r="G79" s="41"/>
      <c r="H79" s="43"/>
      <c r="I79" s="41"/>
      <c r="J79" s="41"/>
      <c r="K79" s="41"/>
      <c r="L79" s="41"/>
      <c r="M79" s="41"/>
      <c r="N79" s="41"/>
      <c r="O79" s="41"/>
      <c r="P79" s="43"/>
      <c r="Q79" s="41"/>
      <c r="R79" s="41"/>
      <c r="S79" s="41"/>
      <c r="T79" s="41"/>
      <c r="U79" s="41"/>
      <c r="V79" s="41"/>
      <c r="W79" s="41"/>
    </row>
    <row r="80">
      <c r="A80" s="41"/>
      <c r="B80" s="41"/>
      <c r="C80" s="41"/>
      <c r="D80" s="41"/>
      <c r="E80" s="41"/>
      <c r="F80" s="41"/>
      <c r="G80" s="41"/>
      <c r="H80" s="43"/>
      <c r="I80" s="41"/>
      <c r="J80" s="41"/>
      <c r="K80" s="41"/>
      <c r="L80" s="41"/>
      <c r="M80" s="41"/>
      <c r="N80" s="41"/>
      <c r="O80" s="41"/>
      <c r="P80" s="43"/>
      <c r="Q80" s="41"/>
      <c r="R80" s="41"/>
      <c r="S80" s="41"/>
      <c r="T80" s="41"/>
      <c r="U80" s="41"/>
      <c r="V80" s="41"/>
      <c r="W80" s="41"/>
    </row>
    <row r="81">
      <c r="A81" s="41"/>
      <c r="B81" s="41"/>
      <c r="C81" s="41"/>
      <c r="D81" s="41"/>
      <c r="E81" s="41"/>
      <c r="F81" s="41"/>
      <c r="G81" s="41"/>
      <c r="H81" s="43"/>
      <c r="I81" s="41"/>
      <c r="J81" s="41"/>
      <c r="K81" s="41"/>
      <c r="L81" s="41"/>
      <c r="M81" s="41"/>
      <c r="N81" s="41"/>
      <c r="O81" s="41"/>
      <c r="P81" s="43"/>
      <c r="Q81" s="41"/>
      <c r="R81" s="41"/>
      <c r="S81" s="41"/>
      <c r="T81" s="41"/>
      <c r="U81" s="41"/>
      <c r="V81" s="41"/>
      <c r="W81" s="41"/>
    </row>
    <row r="82">
      <c r="A82" s="41"/>
      <c r="B82" s="41"/>
      <c r="C82" s="41"/>
      <c r="D82" s="41"/>
      <c r="E82" s="41"/>
      <c r="F82" s="41"/>
      <c r="G82" s="41"/>
      <c r="H82" s="43"/>
      <c r="I82" s="41"/>
      <c r="J82" s="41"/>
      <c r="K82" s="41"/>
      <c r="L82" s="41"/>
      <c r="M82" s="41"/>
      <c r="N82" s="41"/>
      <c r="O82" s="41"/>
      <c r="P82" s="43"/>
      <c r="Q82" s="41"/>
      <c r="R82" s="41"/>
      <c r="S82" s="41"/>
      <c r="T82" s="41"/>
      <c r="U82" s="41"/>
      <c r="V82" s="41"/>
      <c r="W82" s="41"/>
    </row>
    <row r="83">
      <c r="A83" s="41"/>
      <c r="B83" s="41"/>
      <c r="C83" s="41"/>
      <c r="D83" s="41"/>
      <c r="E83" s="41"/>
      <c r="F83" s="41"/>
      <c r="G83" s="41"/>
      <c r="H83" s="43"/>
      <c r="I83" s="41"/>
      <c r="J83" s="41"/>
      <c r="K83" s="41"/>
      <c r="L83" s="41"/>
      <c r="M83" s="41"/>
      <c r="N83" s="41"/>
      <c r="O83" s="41"/>
      <c r="P83" s="43"/>
      <c r="Q83" s="41"/>
      <c r="R83" s="41"/>
      <c r="S83" s="41"/>
      <c r="T83" s="41"/>
      <c r="U83" s="41"/>
      <c r="V83" s="41"/>
      <c r="W83" s="41"/>
    </row>
    <row r="84">
      <c r="A84" s="41"/>
      <c r="B84" s="41"/>
      <c r="C84" s="41"/>
      <c r="D84" s="41"/>
      <c r="E84" s="41"/>
      <c r="F84" s="41"/>
      <c r="G84" s="41"/>
      <c r="H84" s="43"/>
      <c r="I84" s="41"/>
      <c r="J84" s="41"/>
      <c r="K84" s="41"/>
      <c r="L84" s="41"/>
      <c r="M84" s="41"/>
      <c r="N84" s="41"/>
      <c r="O84" s="41"/>
      <c r="P84" s="43"/>
      <c r="Q84" s="41"/>
      <c r="R84" s="41"/>
      <c r="S84" s="41"/>
      <c r="T84" s="41"/>
      <c r="U84" s="41"/>
      <c r="V84" s="41"/>
      <c r="W84" s="41"/>
    </row>
    <row r="85">
      <c r="A85" s="41"/>
      <c r="B85" s="41"/>
      <c r="C85" s="41"/>
      <c r="D85" s="41"/>
      <c r="E85" s="41"/>
      <c r="F85" s="41"/>
      <c r="G85" s="41"/>
      <c r="H85" s="43"/>
      <c r="I85" s="41"/>
      <c r="J85" s="41"/>
      <c r="K85" s="41"/>
      <c r="L85" s="41"/>
      <c r="M85" s="41"/>
      <c r="N85" s="41"/>
      <c r="O85" s="41"/>
      <c r="P85" s="43"/>
      <c r="Q85" s="41"/>
      <c r="R85" s="41"/>
      <c r="S85" s="41"/>
      <c r="T85" s="41"/>
      <c r="U85" s="41"/>
      <c r="V85" s="41"/>
      <c r="W85" s="41"/>
    </row>
    <row r="86">
      <c r="A86" s="41"/>
      <c r="B86" s="41"/>
      <c r="C86" s="41"/>
      <c r="D86" s="41"/>
      <c r="E86" s="41"/>
      <c r="F86" s="41"/>
      <c r="G86" s="41"/>
      <c r="H86" s="43"/>
      <c r="I86" s="41"/>
      <c r="J86" s="41"/>
      <c r="K86" s="41"/>
      <c r="L86" s="41"/>
      <c r="M86" s="41"/>
      <c r="N86" s="41"/>
      <c r="O86" s="41"/>
      <c r="P86" s="43"/>
      <c r="Q86" s="41"/>
      <c r="R86" s="41"/>
      <c r="S86" s="41"/>
      <c r="T86" s="41"/>
      <c r="U86" s="41"/>
      <c r="V86" s="41"/>
      <c r="W86" s="41"/>
    </row>
    <row r="87">
      <c r="A87" s="41"/>
      <c r="B87" s="41"/>
      <c r="C87" s="41"/>
      <c r="D87" s="41"/>
      <c r="E87" s="41"/>
      <c r="F87" s="41"/>
      <c r="G87" s="41"/>
      <c r="H87" s="43"/>
      <c r="I87" s="41"/>
      <c r="J87" s="41"/>
      <c r="K87" s="41"/>
      <c r="L87" s="41"/>
      <c r="M87" s="41"/>
      <c r="N87" s="41"/>
      <c r="O87" s="41"/>
      <c r="P87" s="43"/>
      <c r="Q87" s="41"/>
      <c r="R87" s="41"/>
      <c r="S87" s="41"/>
      <c r="T87" s="41"/>
      <c r="U87" s="41"/>
      <c r="V87" s="41"/>
      <c r="W87" s="41"/>
    </row>
    <row r="88">
      <c r="A88" s="41"/>
      <c r="B88" s="41"/>
      <c r="C88" s="41"/>
      <c r="D88" s="41"/>
      <c r="E88" s="41"/>
      <c r="F88" s="41"/>
      <c r="G88" s="41"/>
      <c r="H88" s="43"/>
      <c r="I88" s="41"/>
      <c r="J88" s="41"/>
      <c r="K88" s="41"/>
      <c r="L88" s="41"/>
      <c r="M88" s="41"/>
      <c r="N88" s="41"/>
      <c r="O88" s="41"/>
      <c r="P88" s="43"/>
      <c r="Q88" s="41"/>
      <c r="R88" s="41"/>
      <c r="S88" s="41"/>
      <c r="T88" s="41"/>
      <c r="U88" s="41"/>
      <c r="V88" s="41"/>
      <c r="W88" s="41"/>
    </row>
    <row r="89">
      <c r="A89" s="41"/>
      <c r="B89" s="41"/>
      <c r="C89" s="41"/>
      <c r="D89" s="41"/>
      <c r="E89" s="41"/>
      <c r="F89" s="41"/>
      <c r="G89" s="41"/>
      <c r="H89" s="43"/>
      <c r="I89" s="41"/>
      <c r="J89" s="41"/>
      <c r="K89" s="41"/>
      <c r="L89" s="41"/>
      <c r="M89" s="41"/>
      <c r="N89" s="41"/>
      <c r="O89" s="41"/>
      <c r="P89" s="43"/>
      <c r="Q89" s="41"/>
      <c r="R89" s="41"/>
      <c r="S89" s="41"/>
      <c r="T89" s="41"/>
      <c r="U89" s="41"/>
      <c r="V89" s="41"/>
      <c r="W89" s="41"/>
    </row>
    <row r="90">
      <c r="A90" s="41"/>
      <c r="B90" s="41"/>
      <c r="C90" s="41"/>
      <c r="D90" s="41"/>
      <c r="E90" s="41"/>
      <c r="F90" s="41"/>
      <c r="G90" s="41"/>
      <c r="H90" s="43"/>
      <c r="I90" s="41"/>
      <c r="J90" s="41"/>
      <c r="K90" s="41"/>
      <c r="L90" s="41"/>
      <c r="M90" s="41"/>
      <c r="N90" s="41"/>
      <c r="O90" s="41"/>
      <c r="P90" s="43"/>
      <c r="Q90" s="41"/>
      <c r="R90" s="41"/>
      <c r="S90" s="41"/>
      <c r="T90" s="41"/>
      <c r="U90" s="41"/>
      <c r="V90" s="41"/>
      <c r="W90" s="41"/>
    </row>
    <row r="91">
      <c r="A91" s="41"/>
      <c r="B91" s="41"/>
      <c r="C91" s="41"/>
      <c r="D91" s="41"/>
      <c r="E91" s="41"/>
      <c r="F91" s="41"/>
      <c r="G91" s="41"/>
      <c r="H91" s="43"/>
      <c r="I91" s="41"/>
      <c r="J91" s="41"/>
      <c r="K91" s="41"/>
      <c r="L91" s="41"/>
      <c r="M91" s="41"/>
      <c r="N91" s="41"/>
      <c r="O91" s="41"/>
      <c r="P91" s="43"/>
      <c r="Q91" s="41"/>
      <c r="R91" s="41"/>
      <c r="S91" s="41"/>
      <c r="T91" s="41"/>
      <c r="U91" s="41"/>
      <c r="V91" s="41"/>
      <c r="W91" s="41"/>
    </row>
    <row r="92">
      <c r="A92" s="41"/>
      <c r="B92" s="41"/>
      <c r="C92" s="41"/>
      <c r="D92" s="41"/>
      <c r="E92" s="41"/>
      <c r="F92" s="41"/>
      <c r="G92" s="41"/>
      <c r="H92" s="43"/>
      <c r="I92" s="41"/>
      <c r="J92" s="41"/>
      <c r="K92" s="41"/>
      <c r="L92" s="41"/>
      <c r="M92" s="41"/>
      <c r="N92" s="41"/>
      <c r="O92" s="41"/>
      <c r="P92" s="43"/>
      <c r="Q92" s="41"/>
      <c r="R92" s="41"/>
      <c r="S92" s="41"/>
      <c r="T92" s="41"/>
      <c r="U92" s="41"/>
      <c r="V92" s="41"/>
      <c r="W92" s="41"/>
    </row>
    <row r="93">
      <c r="A93" s="41"/>
      <c r="B93" s="41"/>
      <c r="C93" s="41"/>
      <c r="D93" s="41"/>
      <c r="E93" s="41"/>
      <c r="F93" s="41"/>
      <c r="G93" s="41"/>
      <c r="H93" s="43"/>
      <c r="I93" s="41"/>
      <c r="J93" s="41"/>
      <c r="K93" s="41"/>
      <c r="L93" s="41"/>
      <c r="M93" s="41"/>
      <c r="N93" s="41"/>
      <c r="O93" s="41"/>
      <c r="P93" s="43"/>
      <c r="Q93" s="41"/>
      <c r="R93" s="41"/>
      <c r="S93" s="41"/>
      <c r="T93" s="41"/>
      <c r="U93" s="41"/>
      <c r="V93" s="41"/>
      <c r="W93" s="41"/>
    </row>
    <row r="94">
      <c r="A94" s="41"/>
      <c r="B94" s="41"/>
      <c r="C94" s="41"/>
      <c r="D94" s="41"/>
      <c r="E94" s="41"/>
      <c r="F94" s="41"/>
      <c r="G94" s="41"/>
      <c r="H94" s="43"/>
      <c r="I94" s="41"/>
      <c r="J94" s="41"/>
      <c r="K94" s="41"/>
      <c r="L94" s="41"/>
      <c r="M94" s="41"/>
      <c r="N94" s="41"/>
      <c r="O94" s="41"/>
      <c r="P94" s="43"/>
      <c r="Q94" s="41"/>
      <c r="R94" s="41"/>
      <c r="S94" s="41"/>
      <c r="T94" s="41"/>
      <c r="U94" s="41"/>
      <c r="V94" s="41"/>
      <c r="W94" s="41"/>
    </row>
    <row r="95">
      <c r="A95" s="41"/>
      <c r="B95" s="41"/>
      <c r="C95" s="41"/>
      <c r="D95" s="41"/>
      <c r="E95" s="41"/>
      <c r="F95" s="41"/>
      <c r="G95" s="41"/>
      <c r="H95" s="43"/>
      <c r="I95" s="41"/>
      <c r="J95" s="41"/>
      <c r="K95" s="41"/>
      <c r="L95" s="41"/>
      <c r="M95" s="41"/>
      <c r="N95" s="41"/>
      <c r="O95" s="41"/>
      <c r="P95" s="43"/>
      <c r="Q95" s="41"/>
      <c r="R95" s="41"/>
      <c r="S95" s="41"/>
      <c r="T95" s="41"/>
      <c r="U95" s="41"/>
      <c r="V95" s="41"/>
      <c r="W95" s="41"/>
    </row>
    <row r="96">
      <c r="A96" s="41"/>
      <c r="B96" s="41"/>
      <c r="C96" s="41"/>
      <c r="D96" s="41"/>
      <c r="E96" s="41"/>
      <c r="F96" s="41"/>
      <c r="G96" s="41"/>
      <c r="H96" s="43"/>
      <c r="I96" s="41"/>
      <c r="J96" s="41"/>
      <c r="K96" s="41"/>
      <c r="L96" s="41"/>
      <c r="M96" s="41"/>
      <c r="N96" s="41"/>
      <c r="O96" s="41"/>
      <c r="P96" s="43"/>
      <c r="Q96" s="41"/>
      <c r="R96" s="41"/>
      <c r="S96" s="41"/>
      <c r="T96" s="41"/>
      <c r="U96" s="41"/>
      <c r="V96" s="41"/>
      <c r="W96" s="41"/>
    </row>
    <row r="97">
      <c r="A97" s="41"/>
      <c r="B97" s="41"/>
      <c r="C97" s="41"/>
      <c r="D97" s="41"/>
      <c r="E97" s="41"/>
      <c r="F97" s="41"/>
      <c r="G97" s="41"/>
      <c r="H97" s="43"/>
      <c r="I97" s="41"/>
      <c r="J97" s="41"/>
      <c r="K97" s="41"/>
      <c r="L97" s="41"/>
      <c r="M97" s="41"/>
      <c r="N97" s="41"/>
      <c r="O97" s="41"/>
      <c r="P97" s="43"/>
      <c r="Q97" s="41"/>
      <c r="R97" s="41"/>
      <c r="S97" s="41"/>
      <c r="T97" s="41"/>
      <c r="U97" s="41"/>
      <c r="V97" s="41"/>
      <c r="W97" s="41"/>
    </row>
    <row r="98">
      <c r="A98" s="41"/>
      <c r="B98" s="41"/>
      <c r="C98" s="41"/>
      <c r="D98" s="41"/>
      <c r="E98" s="41"/>
      <c r="F98" s="41"/>
      <c r="G98" s="41"/>
      <c r="H98" s="43"/>
      <c r="I98" s="41"/>
      <c r="J98" s="41"/>
      <c r="K98" s="41"/>
      <c r="L98" s="41"/>
      <c r="M98" s="41"/>
      <c r="N98" s="41"/>
      <c r="O98" s="41"/>
      <c r="P98" s="43"/>
      <c r="Q98" s="41"/>
      <c r="R98" s="41"/>
      <c r="S98" s="41"/>
      <c r="T98" s="41"/>
      <c r="U98" s="41"/>
      <c r="V98" s="41"/>
      <c r="W98" s="41"/>
    </row>
    <row r="99">
      <c r="A99" s="41"/>
      <c r="B99" s="41"/>
      <c r="C99" s="41"/>
      <c r="D99" s="41"/>
      <c r="E99" s="41"/>
      <c r="F99" s="41"/>
      <c r="G99" s="41"/>
      <c r="H99" s="43"/>
      <c r="I99" s="41"/>
      <c r="J99" s="41"/>
      <c r="K99" s="41"/>
      <c r="L99" s="41"/>
      <c r="M99" s="41"/>
      <c r="N99" s="41"/>
      <c r="O99" s="41"/>
      <c r="P99" s="43"/>
      <c r="Q99" s="41"/>
      <c r="R99" s="41"/>
      <c r="S99" s="41"/>
      <c r="T99" s="41"/>
      <c r="U99" s="41"/>
      <c r="V99" s="41"/>
      <c r="W99" s="41"/>
    </row>
    <row r="100">
      <c r="A100" s="41"/>
      <c r="B100" s="41"/>
      <c r="C100" s="41"/>
      <c r="D100" s="41"/>
      <c r="E100" s="41"/>
      <c r="F100" s="41"/>
      <c r="G100" s="41"/>
      <c r="H100" s="43"/>
      <c r="I100" s="41"/>
      <c r="J100" s="41"/>
      <c r="K100" s="41"/>
      <c r="L100" s="41"/>
      <c r="M100" s="41"/>
      <c r="N100" s="41"/>
      <c r="O100" s="41"/>
      <c r="P100" s="43"/>
      <c r="Q100" s="41"/>
      <c r="R100" s="41"/>
      <c r="S100" s="41"/>
      <c r="T100" s="41"/>
      <c r="U100" s="41"/>
      <c r="V100" s="41"/>
      <c r="W100" s="41"/>
    </row>
    <row r="101">
      <c r="A101" s="41"/>
      <c r="B101" s="41"/>
      <c r="C101" s="41"/>
      <c r="D101" s="41"/>
      <c r="E101" s="41"/>
      <c r="F101" s="41"/>
      <c r="G101" s="41"/>
      <c r="H101" s="43"/>
      <c r="I101" s="41"/>
      <c r="J101" s="41"/>
      <c r="K101" s="41"/>
      <c r="L101" s="41"/>
      <c r="M101" s="41"/>
      <c r="N101" s="41"/>
      <c r="O101" s="41"/>
      <c r="P101" s="43"/>
      <c r="Q101" s="41"/>
      <c r="R101" s="41"/>
      <c r="S101" s="41"/>
      <c r="T101" s="41"/>
      <c r="U101" s="41"/>
      <c r="V101" s="41"/>
      <c r="W101" s="41"/>
    </row>
    <row r="102">
      <c r="A102" s="41"/>
      <c r="B102" s="41"/>
      <c r="C102" s="41"/>
      <c r="D102" s="41"/>
      <c r="E102" s="41"/>
      <c r="F102" s="41"/>
      <c r="G102" s="41"/>
      <c r="H102" s="43"/>
      <c r="I102" s="41"/>
      <c r="J102" s="41"/>
      <c r="K102" s="41"/>
      <c r="L102" s="41"/>
      <c r="M102" s="41"/>
      <c r="N102" s="41"/>
      <c r="O102" s="41"/>
      <c r="P102" s="43"/>
      <c r="Q102" s="41"/>
      <c r="R102" s="41"/>
      <c r="S102" s="41"/>
      <c r="T102" s="41"/>
      <c r="U102" s="41"/>
      <c r="V102" s="41"/>
      <c r="W102" s="41"/>
    </row>
    <row r="103">
      <c r="A103" s="41"/>
      <c r="B103" s="41"/>
      <c r="C103" s="41"/>
      <c r="D103" s="41"/>
      <c r="E103" s="41"/>
      <c r="F103" s="41"/>
      <c r="G103" s="41"/>
      <c r="H103" s="43"/>
      <c r="I103" s="41"/>
      <c r="J103" s="41"/>
      <c r="K103" s="41"/>
      <c r="L103" s="41"/>
      <c r="M103" s="41"/>
      <c r="N103" s="41"/>
      <c r="O103" s="41"/>
      <c r="P103" s="43"/>
      <c r="Q103" s="41"/>
      <c r="R103" s="41"/>
      <c r="S103" s="41"/>
      <c r="T103" s="41"/>
      <c r="U103" s="41"/>
      <c r="V103" s="41"/>
      <c r="W103" s="41"/>
    </row>
    <row r="104">
      <c r="A104" s="41"/>
      <c r="B104" s="41"/>
      <c r="C104" s="41"/>
      <c r="D104" s="41"/>
      <c r="E104" s="41"/>
      <c r="F104" s="41"/>
      <c r="G104" s="41"/>
      <c r="H104" s="43"/>
      <c r="I104" s="41"/>
      <c r="J104" s="41"/>
      <c r="K104" s="41"/>
      <c r="L104" s="41"/>
      <c r="M104" s="41"/>
      <c r="N104" s="41"/>
      <c r="O104" s="41"/>
      <c r="P104" s="43"/>
      <c r="Q104" s="41"/>
      <c r="R104" s="41"/>
      <c r="S104" s="41"/>
      <c r="T104" s="41"/>
      <c r="U104" s="41"/>
      <c r="V104" s="41"/>
      <c r="W104" s="41"/>
    </row>
    <row r="105">
      <c r="A105" s="41"/>
      <c r="B105" s="41"/>
      <c r="C105" s="41"/>
      <c r="D105" s="41"/>
      <c r="E105" s="41"/>
      <c r="F105" s="41"/>
      <c r="G105" s="41"/>
      <c r="H105" s="43"/>
      <c r="I105" s="41"/>
      <c r="J105" s="41"/>
      <c r="K105" s="41"/>
      <c r="L105" s="41"/>
      <c r="M105" s="41"/>
      <c r="N105" s="41"/>
      <c r="O105" s="41"/>
      <c r="P105" s="43"/>
      <c r="Q105" s="41"/>
      <c r="R105" s="41"/>
      <c r="S105" s="41"/>
      <c r="T105" s="41"/>
      <c r="U105" s="41"/>
      <c r="V105" s="41"/>
      <c r="W105" s="41"/>
    </row>
    <row r="106">
      <c r="A106" s="41"/>
      <c r="B106" s="41"/>
      <c r="C106" s="41"/>
      <c r="D106" s="41"/>
      <c r="E106" s="41"/>
      <c r="F106" s="41"/>
      <c r="G106" s="41"/>
      <c r="H106" s="43"/>
      <c r="I106" s="41"/>
      <c r="J106" s="41"/>
      <c r="K106" s="41"/>
      <c r="L106" s="41"/>
      <c r="M106" s="41"/>
      <c r="N106" s="41"/>
      <c r="O106" s="41"/>
      <c r="P106" s="43"/>
      <c r="Q106" s="41"/>
      <c r="R106" s="41"/>
      <c r="S106" s="41"/>
      <c r="T106" s="41"/>
      <c r="U106" s="41"/>
      <c r="V106" s="41"/>
      <c r="W106" s="41"/>
    </row>
    <row r="107">
      <c r="A107" s="41"/>
      <c r="B107" s="41"/>
      <c r="C107" s="41"/>
      <c r="D107" s="41"/>
      <c r="E107" s="41"/>
      <c r="F107" s="41"/>
      <c r="G107" s="41"/>
      <c r="H107" s="43"/>
      <c r="I107" s="41"/>
      <c r="J107" s="41"/>
      <c r="K107" s="41"/>
      <c r="L107" s="41"/>
      <c r="M107" s="41"/>
      <c r="N107" s="41"/>
      <c r="O107" s="41"/>
      <c r="P107" s="43"/>
      <c r="Q107" s="41"/>
      <c r="R107" s="41"/>
      <c r="S107" s="41"/>
      <c r="T107" s="41"/>
      <c r="U107" s="41"/>
      <c r="V107" s="41"/>
      <c r="W107" s="41"/>
    </row>
    <row r="108">
      <c r="A108" s="41"/>
      <c r="B108" s="41"/>
      <c r="C108" s="41"/>
      <c r="D108" s="41"/>
      <c r="E108" s="41"/>
      <c r="F108" s="41"/>
      <c r="G108" s="41"/>
      <c r="H108" s="43"/>
      <c r="I108" s="41"/>
      <c r="J108" s="41"/>
      <c r="K108" s="41"/>
      <c r="L108" s="41"/>
      <c r="M108" s="41"/>
      <c r="N108" s="41"/>
      <c r="O108" s="41"/>
      <c r="P108" s="43"/>
      <c r="Q108" s="41"/>
      <c r="R108" s="41"/>
      <c r="S108" s="41"/>
      <c r="T108" s="41"/>
      <c r="U108" s="41"/>
      <c r="V108" s="41"/>
      <c r="W108" s="41"/>
    </row>
    <row r="109">
      <c r="A109" s="41"/>
      <c r="B109" s="41"/>
      <c r="C109" s="41"/>
      <c r="D109" s="41"/>
      <c r="E109" s="41"/>
      <c r="F109" s="41"/>
      <c r="G109" s="41"/>
      <c r="H109" s="43"/>
      <c r="I109" s="41"/>
      <c r="J109" s="41"/>
      <c r="K109" s="41"/>
      <c r="L109" s="41"/>
      <c r="M109" s="41"/>
      <c r="N109" s="41"/>
      <c r="O109" s="41"/>
      <c r="P109" s="43"/>
      <c r="Q109" s="41"/>
      <c r="R109" s="41"/>
      <c r="S109" s="41"/>
      <c r="T109" s="41"/>
      <c r="U109" s="41"/>
      <c r="V109" s="41"/>
      <c r="W109" s="41"/>
    </row>
    <row r="110">
      <c r="A110" s="41"/>
      <c r="B110" s="41"/>
      <c r="C110" s="41"/>
      <c r="D110" s="41"/>
      <c r="E110" s="41"/>
      <c r="F110" s="41"/>
      <c r="G110" s="41"/>
      <c r="H110" s="43"/>
      <c r="I110" s="41"/>
      <c r="J110" s="41"/>
      <c r="K110" s="41"/>
      <c r="L110" s="41"/>
      <c r="M110" s="41"/>
      <c r="N110" s="41"/>
      <c r="O110" s="41"/>
      <c r="P110" s="43"/>
      <c r="Q110" s="41"/>
      <c r="R110" s="41"/>
      <c r="S110" s="41"/>
      <c r="T110" s="41"/>
      <c r="U110" s="41"/>
      <c r="V110" s="41"/>
      <c r="W110" s="41"/>
    </row>
    <row r="111">
      <c r="A111" s="41"/>
      <c r="B111" s="41"/>
      <c r="C111" s="41"/>
      <c r="D111" s="41"/>
      <c r="E111" s="41"/>
      <c r="F111" s="41"/>
      <c r="G111" s="41"/>
      <c r="H111" s="43"/>
      <c r="I111" s="41"/>
      <c r="J111" s="41"/>
      <c r="K111" s="41"/>
      <c r="L111" s="41"/>
      <c r="M111" s="41"/>
      <c r="N111" s="41"/>
      <c r="O111" s="41"/>
      <c r="P111" s="43"/>
      <c r="Q111" s="41"/>
      <c r="R111" s="41"/>
      <c r="S111" s="41"/>
      <c r="T111" s="41"/>
      <c r="U111" s="41"/>
      <c r="V111" s="41"/>
      <c r="W111" s="41"/>
    </row>
    <row r="112">
      <c r="A112" s="41"/>
      <c r="B112" s="41"/>
      <c r="C112" s="41"/>
      <c r="D112" s="41"/>
      <c r="E112" s="41"/>
      <c r="F112" s="41"/>
      <c r="G112" s="41"/>
      <c r="H112" s="43"/>
      <c r="I112" s="41"/>
      <c r="J112" s="41"/>
      <c r="K112" s="41"/>
      <c r="L112" s="41"/>
      <c r="M112" s="41"/>
      <c r="N112" s="41"/>
      <c r="O112" s="41"/>
      <c r="P112" s="43"/>
      <c r="Q112" s="41"/>
      <c r="R112" s="41"/>
      <c r="S112" s="41"/>
      <c r="T112" s="41"/>
      <c r="U112" s="41"/>
      <c r="V112" s="41"/>
      <c r="W112" s="41"/>
    </row>
    <row r="113">
      <c r="A113" s="41"/>
      <c r="B113" s="41"/>
      <c r="C113" s="41"/>
      <c r="D113" s="41"/>
      <c r="E113" s="41"/>
      <c r="F113" s="41"/>
      <c r="G113" s="41"/>
      <c r="H113" s="43"/>
      <c r="I113" s="41"/>
      <c r="J113" s="41"/>
      <c r="K113" s="41"/>
      <c r="L113" s="41"/>
      <c r="M113" s="41"/>
      <c r="N113" s="41"/>
      <c r="O113" s="41"/>
      <c r="P113" s="43"/>
      <c r="Q113" s="41"/>
      <c r="R113" s="41"/>
      <c r="S113" s="41"/>
      <c r="T113" s="41"/>
      <c r="U113" s="41"/>
      <c r="V113" s="41"/>
      <c r="W113" s="41"/>
    </row>
    <row r="114">
      <c r="A114" s="41"/>
      <c r="B114" s="41"/>
      <c r="C114" s="41"/>
      <c r="D114" s="41"/>
      <c r="E114" s="41"/>
      <c r="F114" s="41"/>
      <c r="G114" s="41"/>
      <c r="H114" s="43"/>
      <c r="I114" s="41"/>
      <c r="J114" s="41"/>
      <c r="K114" s="41"/>
      <c r="L114" s="41"/>
      <c r="M114" s="41"/>
      <c r="N114" s="41"/>
      <c r="O114" s="41"/>
      <c r="P114" s="43"/>
      <c r="Q114" s="41"/>
      <c r="R114" s="41"/>
      <c r="S114" s="41"/>
      <c r="T114" s="41"/>
      <c r="U114" s="41"/>
      <c r="V114" s="41"/>
      <c r="W114" s="41"/>
    </row>
    <row r="115">
      <c r="A115" s="41"/>
      <c r="B115" s="41"/>
      <c r="C115" s="41"/>
      <c r="D115" s="41"/>
      <c r="E115" s="41"/>
      <c r="F115" s="41"/>
      <c r="G115" s="41"/>
      <c r="H115" s="43"/>
      <c r="I115" s="41"/>
      <c r="J115" s="41"/>
      <c r="K115" s="41"/>
      <c r="L115" s="41"/>
      <c r="M115" s="41"/>
      <c r="N115" s="41"/>
      <c r="O115" s="41"/>
      <c r="P115" s="43"/>
      <c r="Q115" s="41"/>
      <c r="R115" s="41"/>
      <c r="S115" s="41"/>
      <c r="T115" s="41"/>
      <c r="U115" s="41"/>
      <c r="V115" s="41"/>
      <c r="W115" s="41"/>
    </row>
    <row r="116">
      <c r="A116" s="41"/>
      <c r="B116" s="41"/>
      <c r="C116" s="41"/>
      <c r="D116" s="41"/>
      <c r="E116" s="41"/>
      <c r="F116" s="41"/>
      <c r="G116" s="41"/>
      <c r="H116" s="43"/>
      <c r="I116" s="41"/>
      <c r="J116" s="41"/>
      <c r="K116" s="41"/>
      <c r="L116" s="41"/>
      <c r="M116" s="41"/>
      <c r="N116" s="41"/>
      <c r="O116" s="41"/>
      <c r="P116" s="43"/>
      <c r="Q116" s="41"/>
      <c r="R116" s="41"/>
      <c r="S116" s="41"/>
      <c r="T116" s="41"/>
      <c r="U116" s="41"/>
      <c r="V116" s="41"/>
      <c r="W116" s="41"/>
    </row>
    <row r="117">
      <c r="A117" s="41"/>
      <c r="B117" s="41"/>
      <c r="C117" s="41"/>
      <c r="D117" s="41"/>
      <c r="E117" s="41"/>
      <c r="F117" s="41"/>
      <c r="G117" s="41"/>
      <c r="H117" s="43"/>
      <c r="I117" s="41"/>
      <c r="J117" s="41"/>
      <c r="K117" s="41"/>
      <c r="L117" s="41"/>
      <c r="M117" s="41"/>
      <c r="N117" s="41"/>
      <c r="O117" s="41"/>
      <c r="P117" s="43"/>
      <c r="Q117" s="41"/>
      <c r="R117" s="41"/>
      <c r="S117" s="41"/>
      <c r="T117" s="41"/>
      <c r="U117" s="41"/>
      <c r="V117" s="41"/>
      <c r="W117" s="41"/>
    </row>
    <row r="118">
      <c r="A118" s="41"/>
      <c r="B118" s="41"/>
      <c r="C118" s="41"/>
      <c r="D118" s="41"/>
      <c r="E118" s="41"/>
      <c r="F118" s="41"/>
      <c r="G118" s="41"/>
      <c r="H118" s="43"/>
      <c r="I118" s="41"/>
      <c r="J118" s="41"/>
      <c r="K118" s="41"/>
      <c r="L118" s="41"/>
      <c r="M118" s="41"/>
      <c r="N118" s="41"/>
      <c r="O118" s="41"/>
      <c r="P118" s="43"/>
      <c r="Q118" s="41"/>
      <c r="R118" s="41"/>
      <c r="S118" s="41"/>
      <c r="T118" s="41"/>
      <c r="U118" s="41"/>
      <c r="V118" s="41"/>
      <c r="W118" s="41"/>
    </row>
    <row r="119">
      <c r="A119" s="41"/>
      <c r="B119" s="41"/>
      <c r="C119" s="41"/>
      <c r="D119" s="41"/>
      <c r="E119" s="41"/>
      <c r="F119" s="41"/>
      <c r="G119" s="41"/>
      <c r="H119" s="43"/>
      <c r="I119" s="41"/>
      <c r="J119" s="41"/>
      <c r="K119" s="41"/>
      <c r="L119" s="41"/>
      <c r="M119" s="41"/>
      <c r="N119" s="41"/>
      <c r="O119" s="41"/>
      <c r="P119" s="43"/>
      <c r="Q119" s="41"/>
      <c r="R119" s="41"/>
      <c r="S119" s="41"/>
      <c r="T119" s="41"/>
      <c r="U119" s="41"/>
      <c r="V119" s="41"/>
      <c r="W119" s="41"/>
    </row>
    <row r="120">
      <c r="A120" s="41"/>
      <c r="B120" s="41"/>
      <c r="C120" s="41"/>
      <c r="D120" s="41"/>
      <c r="E120" s="41"/>
      <c r="F120" s="41"/>
      <c r="G120" s="41"/>
      <c r="H120" s="43"/>
      <c r="I120" s="41"/>
      <c r="J120" s="41"/>
      <c r="K120" s="41"/>
      <c r="L120" s="41"/>
      <c r="M120" s="41"/>
      <c r="N120" s="41"/>
      <c r="O120" s="41"/>
      <c r="P120" s="43"/>
      <c r="Q120" s="41"/>
      <c r="R120" s="41"/>
      <c r="S120" s="41"/>
      <c r="T120" s="41"/>
      <c r="U120" s="41"/>
      <c r="V120" s="41"/>
      <c r="W120" s="41"/>
    </row>
    <row r="121">
      <c r="A121" s="41"/>
      <c r="B121" s="41"/>
      <c r="C121" s="41"/>
      <c r="D121" s="41"/>
      <c r="E121" s="41"/>
      <c r="F121" s="41"/>
      <c r="G121" s="41"/>
      <c r="H121" s="43"/>
      <c r="I121" s="41"/>
      <c r="J121" s="41"/>
      <c r="K121" s="41"/>
      <c r="L121" s="41"/>
      <c r="M121" s="41"/>
      <c r="N121" s="41"/>
      <c r="O121" s="41"/>
      <c r="P121" s="43"/>
      <c r="Q121" s="41"/>
      <c r="R121" s="41"/>
      <c r="S121" s="41"/>
      <c r="T121" s="41"/>
      <c r="U121" s="41"/>
      <c r="V121" s="41"/>
      <c r="W121" s="41"/>
    </row>
    <row r="122">
      <c r="A122" s="41"/>
      <c r="B122" s="41"/>
      <c r="C122" s="41"/>
      <c r="D122" s="41"/>
      <c r="E122" s="41"/>
      <c r="F122" s="41"/>
      <c r="G122" s="41"/>
      <c r="H122" s="43"/>
      <c r="I122" s="41"/>
      <c r="J122" s="41"/>
      <c r="K122" s="41"/>
      <c r="L122" s="41"/>
      <c r="M122" s="41"/>
      <c r="N122" s="41"/>
      <c r="O122" s="41"/>
      <c r="P122" s="43"/>
      <c r="Q122" s="41"/>
      <c r="R122" s="41"/>
      <c r="S122" s="41"/>
      <c r="T122" s="41"/>
      <c r="U122" s="41"/>
      <c r="V122" s="41"/>
      <c r="W122" s="41"/>
    </row>
    <row r="123">
      <c r="A123" s="41"/>
      <c r="B123" s="41"/>
      <c r="C123" s="41"/>
      <c r="D123" s="41"/>
      <c r="E123" s="41"/>
      <c r="F123" s="41"/>
      <c r="G123" s="41"/>
      <c r="H123" s="43"/>
      <c r="I123" s="41"/>
      <c r="J123" s="41"/>
      <c r="K123" s="41"/>
      <c r="L123" s="41"/>
      <c r="M123" s="41"/>
      <c r="N123" s="41"/>
      <c r="O123" s="41"/>
      <c r="P123" s="43"/>
      <c r="Q123" s="41"/>
      <c r="R123" s="41"/>
      <c r="S123" s="41"/>
      <c r="T123" s="41"/>
      <c r="U123" s="41"/>
      <c r="V123" s="41"/>
      <c r="W123" s="41"/>
    </row>
    <row r="124">
      <c r="A124" s="41"/>
      <c r="B124" s="41"/>
      <c r="C124" s="41"/>
      <c r="D124" s="41"/>
      <c r="E124" s="41"/>
      <c r="F124" s="41"/>
      <c r="G124" s="41"/>
      <c r="H124" s="43"/>
      <c r="I124" s="41"/>
      <c r="J124" s="41"/>
      <c r="K124" s="41"/>
      <c r="L124" s="41"/>
      <c r="M124" s="41"/>
      <c r="N124" s="41"/>
      <c r="O124" s="41"/>
      <c r="P124" s="43"/>
      <c r="Q124" s="41"/>
      <c r="R124" s="41"/>
      <c r="S124" s="41"/>
      <c r="T124" s="41"/>
      <c r="U124" s="41"/>
      <c r="V124" s="41"/>
      <c r="W124" s="41"/>
    </row>
    <row r="125">
      <c r="A125" s="41"/>
      <c r="B125" s="41"/>
      <c r="C125" s="41"/>
      <c r="D125" s="41"/>
      <c r="E125" s="41"/>
      <c r="F125" s="41"/>
      <c r="G125" s="41"/>
      <c r="H125" s="43"/>
      <c r="I125" s="41"/>
      <c r="J125" s="41"/>
      <c r="K125" s="41"/>
      <c r="L125" s="41"/>
      <c r="M125" s="41"/>
      <c r="N125" s="41"/>
      <c r="O125" s="41"/>
      <c r="P125" s="43"/>
      <c r="Q125" s="41"/>
      <c r="R125" s="41"/>
      <c r="S125" s="41"/>
      <c r="T125" s="41"/>
      <c r="U125" s="41"/>
      <c r="V125" s="41"/>
      <c r="W125" s="41"/>
    </row>
    <row r="126">
      <c r="A126" s="41"/>
      <c r="B126" s="41"/>
      <c r="C126" s="41"/>
      <c r="D126" s="41"/>
      <c r="E126" s="41"/>
      <c r="F126" s="41"/>
      <c r="G126" s="41"/>
      <c r="H126" s="43"/>
      <c r="I126" s="41"/>
      <c r="J126" s="41"/>
      <c r="K126" s="41"/>
      <c r="L126" s="41"/>
      <c r="M126" s="41"/>
      <c r="N126" s="41"/>
      <c r="O126" s="41"/>
      <c r="P126" s="43"/>
      <c r="Q126" s="41"/>
      <c r="R126" s="41"/>
      <c r="S126" s="41"/>
      <c r="T126" s="41"/>
      <c r="U126" s="41"/>
      <c r="V126" s="41"/>
      <c r="W126" s="41"/>
    </row>
    <row r="127">
      <c r="A127" s="41"/>
      <c r="B127" s="41"/>
      <c r="C127" s="41"/>
      <c r="D127" s="41"/>
      <c r="E127" s="41"/>
      <c r="F127" s="41"/>
      <c r="G127" s="41"/>
      <c r="H127" s="43"/>
      <c r="I127" s="41"/>
      <c r="J127" s="41"/>
      <c r="K127" s="41"/>
      <c r="L127" s="41"/>
      <c r="M127" s="41"/>
      <c r="N127" s="41"/>
      <c r="O127" s="41"/>
      <c r="P127" s="43"/>
      <c r="Q127" s="41"/>
      <c r="R127" s="41"/>
      <c r="S127" s="41"/>
      <c r="T127" s="41"/>
      <c r="U127" s="41"/>
      <c r="V127" s="41"/>
      <c r="W127" s="41"/>
    </row>
    <row r="128">
      <c r="A128" s="41"/>
      <c r="B128" s="41"/>
      <c r="C128" s="41"/>
      <c r="D128" s="41"/>
      <c r="E128" s="41"/>
      <c r="F128" s="41"/>
      <c r="G128" s="41"/>
      <c r="H128" s="43"/>
      <c r="I128" s="41"/>
      <c r="J128" s="41"/>
      <c r="K128" s="41"/>
      <c r="L128" s="41"/>
      <c r="M128" s="41"/>
      <c r="N128" s="41"/>
      <c r="O128" s="41"/>
      <c r="P128" s="43"/>
      <c r="Q128" s="41"/>
      <c r="R128" s="41"/>
      <c r="S128" s="41"/>
      <c r="T128" s="41"/>
      <c r="U128" s="41"/>
      <c r="V128" s="41"/>
      <c r="W128" s="41"/>
    </row>
    <row r="129">
      <c r="A129" s="41"/>
      <c r="B129" s="41"/>
      <c r="C129" s="41"/>
      <c r="D129" s="41"/>
      <c r="E129" s="41"/>
      <c r="F129" s="41"/>
      <c r="G129" s="41"/>
      <c r="H129" s="43"/>
      <c r="I129" s="41"/>
      <c r="J129" s="41"/>
      <c r="K129" s="41"/>
      <c r="L129" s="41"/>
      <c r="M129" s="41"/>
      <c r="N129" s="41"/>
      <c r="O129" s="41"/>
      <c r="P129" s="43"/>
      <c r="Q129" s="41"/>
      <c r="R129" s="41"/>
      <c r="S129" s="41"/>
      <c r="T129" s="41"/>
      <c r="U129" s="41"/>
      <c r="V129" s="41"/>
      <c r="W129" s="41"/>
    </row>
    <row r="130">
      <c r="A130" s="41"/>
      <c r="B130" s="41"/>
      <c r="C130" s="41"/>
      <c r="D130" s="41"/>
      <c r="E130" s="41"/>
      <c r="F130" s="41"/>
      <c r="G130" s="41"/>
      <c r="H130" s="43"/>
      <c r="I130" s="41"/>
      <c r="J130" s="41"/>
      <c r="K130" s="41"/>
      <c r="L130" s="41"/>
      <c r="M130" s="41"/>
      <c r="N130" s="41"/>
      <c r="O130" s="41"/>
      <c r="P130" s="43"/>
      <c r="Q130" s="41"/>
      <c r="R130" s="41"/>
      <c r="S130" s="41"/>
      <c r="T130" s="41"/>
      <c r="U130" s="41"/>
      <c r="V130" s="41"/>
      <c r="W130" s="41"/>
    </row>
    <row r="131">
      <c r="A131" s="41"/>
      <c r="B131" s="41"/>
      <c r="C131" s="41"/>
      <c r="D131" s="41"/>
      <c r="E131" s="41"/>
      <c r="F131" s="41"/>
      <c r="G131" s="41"/>
      <c r="H131" s="43"/>
      <c r="I131" s="41"/>
      <c r="J131" s="41"/>
      <c r="K131" s="41"/>
      <c r="L131" s="41"/>
      <c r="M131" s="41"/>
      <c r="N131" s="41"/>
      <c r="O131" s="41"/>
      <c r="P131" s="43"/>
      <c r="Q131" s="41"/>
      <c r="R131" s="41"/>
      <c r="S131" s="41"/>
      <c r="T131" s="41"/>
      <c r="U131" s="41"/>
      <c r="V131" s="41"/>
      <c r="W131" s="41"/>
    </row>
    <row r="132">
      <c r="A132" s="41"/>
      <c r="B132" s="41"/>
      <c r="C132" s="41"/>
      <c r="D132" s="41"/>
      <c r="E132" s="41"/>
      <c r="F132" s="41"/>
      <c r="G132" s="41"/>
      <c r="H132" s="43"/>
      <c r="I132" s="41"/>
      <c r="J132" s="41"/>
      <c r="K132" s="41"/>
      <c r="L132" s="41"/>
      <c r="M132" s="41"/>
      <c r="N132" s="41"/>
      <c r="O132" s="41"/>
      <c r="P132" s="43"/>
      <c r="Q132" s="41"/>
      <c r="R132" s="41"/>
      <c r="S132" s="41"/>
      <c r="T132" s="41"/>
      <c r="U132" s="41"/>
      <c r="V132" s="41"/>
      <c r="W132" s="41"/>
    </row>
    <row r="133">
      <c r="A133" s="41"/>
      <c r="B133" s="41"/>
      <c r="C133" s="41"/>
      <c r="D133" s="41"/>
      <c r="E133" s="41"/>
      <c r="F133" s="41"/>
      <c r="G133" s="41"/>
      <c r="H133" s="43"/>
      <c r="I133" s="41"/>
      <c r="J133" s="41"/>
      <c r="K133" s="41"/>
      <c r="L133" s="41"/>
      <c r="M133" s="41"/>
      <c r="N133" s="41"/>
      <c r="O133" s="41"/>
      <c r="P133" s="43"/>
      <c r="Q133" s="41"/>
      <c r="R133" s="41"/>
      <c r="S133" s="41"/>
      <c r="T133" s="41"/>
      <c r="U133" s="41"/>
      <c r="V133" s="41"/>
      <c r="W133" s="41"/>
    </row>
    <row r="134">
      <c r="A134" s="41"/>
      <c r="B134" s="41"/>
      <c r="C134" s="41"/>
      <c r="D134" s="41"/>
      <c r="E134" s="41"/>
      <c r="F134" s="41"/>
      <c r="G134" s="41"/>
      <c r="H134" s="43"/>
      <c r="I134" s="41"/>
      <c r="J134" s="41"/>
      <c r="K134" s="41"/>
      <c r="L134" s="41"/>
      <c r="M134" s="41"/>
      <c r="N134" s="41"/>
      <c r="O134" s="41"/>
      <c r="P134" s="43"/>
      <c r="Q134" s="41"/>
      <c r="R134" s="41"/>
      <c r="S134" s="41"/>
      <c r="T134" s="41"/>
      <c r="U134" s="41"/>
      <c r="V134" s="41"/>
      <c r="W134" s="41"/>
    </row>
    <row r="135">
      <c r="A135" s="41"/>
      <c r="B135" s="41"/>
      <c r="C135" s="41"/>
      <c r="D135" s="41"/>
      <c r="E135" s="41"/>
      <c r="F135" s="41"/>
      <c r="G135" s="41"/>
      <c r="H135" s="43"/>
      <c r="I135" s="41"/>
      <c r="J135" s="41"/>
      <c r="K135" s="41"/>
      <c r="L135" s="41"/>
      <c r="M135" s="41"/>
      <c r="N135" s="41"/>
      <c r="O135" s="41"/>
      <c r="P135" s="43"/>
      <c r="Q135" s="41"/>
      <c r="R135" s="41"/>
      <c r="S135" s="41"/>
      <c r="T135" s="41"/>
      <c r="U135" s="41"/>
      <c r="V135" s="41"/>
      <c r="W135" s="41"/>
    </row>
    <row r="136">
      <c r="A136" s="41"/>
      <c r="B136" s="41"/>
      <c r="C136" s="41"/>
      <c r="D136" s="41"/>
      <c r="E136" s="41"/>
      <c r="F136" s="41"/>
      <c r="G136" s="41"/>
      <c r="H136" s="43"/>
      <c r="I136" s="41"/>
      <c r="J136" s="41"/>
      <c r="K136" s="41"/>
      <c r="L136" s="41"/>
      <c r="M136" s="41"/>
      <c r="N136" s="41"/>
      <c r="O136" s="41"/>
      <c r="P136" s="43"/>
      <c r="Q136" s="41"/>
      <c r="R136" s="41"/>
      <c r="S136" s="41"/>
      <c r="T136" s="41"/>
      <c r="U136" s="41"/>
      <c r="V136" s="41"/>
      <c r="W136" s="41"/>
    </row>
    <row r="137">
      <c r="A137" s="41"/>
      <c r="B137" s="41"/>
      <c r="C137" s="41"/>
      <c r="D137" s="41"/>
      <c r="E137" s="41"/>
      <c r="F137" s="41"/>
      <c r="G137" s="41"/>
      <c r="H137" s="43"/>
      <c r="I137" s="41"/>
      <c r="J137" s="41"/>
      <c r="K137" s="41"/>
      <c r="L137" s="41"/>
      <c r="M137" s="41"/>
      <c r="N137" s="41"/>
      <c r="O137" s="41"/>
      <c r="P137" s="43"/>
      <c r="Q137" s="41"/>
      <c r="R137" s="41"/>
      <c r="S137" s="41"/>
      <c r="T137" s="41"/>
      <c r="U137" s="41"/>
      <c r="V137" s="41"/>
      <c r="W137" s="41"/>
    </row>
    <row r="138">
      <c r="A138" s="41"/>
      <c r="B138" s="41"/>
      <c r="C138" s="41"/>
      <c r="D138" s="41"/>
      <c r="E138" s="41"/>
      <c r="F138" s="41"/>
      <c r="G138" s="41"/>
      <c r="H138" s="43"/>
      <c r="I138" s="41"/>
      <c r="J138" s="41"/>
      <c r="K138" s="41"/>
      <c r="L138" s="41"/>
      <c r="M138" s="41"/>
      <c r="N138" s="41"/>
      <c r="O138" s="41"/>
      <c r="P138" s="43"/>
      <c r="Q138" s="41"/>
      <c r="R138" s="41"/>
      <c r="S138" s="41"/>
      <c r="T138" s="41"/>
      <c r="U138" s="41"/>
      <c r="V138" s="41"/>
      <c r="W138" s="41"/>
    </row>
    <row r="139">
      <c r="A139" s="41"/>
      <c r="B139" s="41"/>
      <c r="C139" s="41"/>
      <c r="D139" s="41"/>
      <c r="E139" s="41"/>
      <c r="F139" s="41"/>
      <c r="G139" s="41"/>
      <c r="H139" s="43"/>
      <c r="I139" s="41"/>
      <c r="J139" s="41"/>
      <c r="K139" s="41"/>
      <c r="L139" s="41"/>
      <c r="M139" s="41"/>
      <c r="N139" s="41"/>
      <c r="O139" s="41"/>
      <c r="P139" s="43"/>
      <c r="Q139" s="41"/>
      <c r="R139" s="41"/>
      <c r="S139" s="41"/>
      <c r="T139" s="41"/>
      <c r="U139" s="41"/>
      <c r="V139" s="41"/>
      <c r="W139" s="41"/>
    </row>
    <row r="140">
      <c r="A140" s="41"/>
      <c r="B140" s="41"/>
      <c r="C140" s="41"/>
      <c r="D140" s="41"/>
      <c r="E140" s="41"/>
      <c r="F140" s="41"/>
      <c r="G140" s="41"/>
      <c r="H140" s="43"/>
      <c r="I140" s="41"/>
      <c r="J140" s="41"/>
      <c r="K140" s="41"/>
      <c r="L140" s="41"/>
      <c r="M140" s="41"/>
      <c r="N140" s="41"/>
      <c r="O140" s="41"/>
      <c r="P140" s="43"/>
      <c r="Q140" s="41"/>
      <c r="R140" s="41"/>
      <c r="S140" s="41"/>
      <c r="T140" s="41"/>
      <c r="U140" s="41"/>
      <c r="V140" s="41"/>
      <c r="W140" s="41"/>
    </row>
    <row r="141">
      <c r="A141" s="41"/>
      <c r="B141" s="41"/>
      <c r="C141" s="41"/>
      <c r="D141" s="41"/>
      <c r="E141" s="41"/>
      <c r="F141" s="41"/>
      <c r="G141" s="41"/>
      <c r="H141" s="43"/>
      <c r="I141" s="41"/>
      <c r="J141" s="41"/>
      <c r="K141" s="41"/>
      <c r="L141" s="41"/>
      <c r="M141" s="41"/>
      <c r="N141" s="41"/>
      <c r="O141" s="41"/>
      <c r="P141" s="43"/>
      <c r="Q141" s="41"/>
      <c r="R141" s="41"/>
      <c r="S141" s="41"/>
      <c r="T141" s="41"/>
      <c r="U141" s="41"/>
      <c r="V141" s="41"/>
      <c r="W141" s="41"/>
    </row>
    <row r="142">
      <c r="A142" s="41"/>
      <c r="B142" s="41"/>
      <c r="C142" s="41"/>
      <c r="D142" s="41"/>
      <c r="E142" s="41"/>
      <c r="F142" s="41"/>
      <c r="G142" s="41"/>
      <c r="H142" s="43"/>
      <c r="I142" s="41"/>
      <c r="J142" s="41"/>
      <c r="K142" s="41"/>
      <c r="L142" s="41"/>
      <c r="M142" s="41"/>
      <c r="N142" s="41"/>
      <c r="O142" s="41"/>
      <c r="P142" s="43"/>
      <c r="Q142" s="41"/>
      <c r="R142" s="41"/>
      <c r="S142" s="41"/>
      <c r="T142" s="41"/>
      <c r="U142" s="41"/>
      <c r="V142" s="41"/>
      <c r="W142" s="41"/>
    </row>
    <row r="143">
      <c r="A143" s="41"/>
      <c r="B143" s="41"/>
      <c r="C143" s="41"/>
      <c r="D143" s="41"/>
      <c r="E143" s="41"/>
      <c r="F143" s="41"/>
      <c r="G143" s="41"/>
      <c r="H143" s="43"/>
      <c r="I143" s="41"/>
      <c r="J143" s="41"/>
      <c r="K143" s="41"/>
      <c r="L143" s="41"/>
      <c r="M143" s="41"/>
      <c r="N143" s="41"/>
      <c r="O143" s="41"/>
      <c r="P143" s="43"/>
      <c r="Q143" s="41"/>
      <c r="R143" s="41"/>
      <c r="S143" s="41"/>
      <c r="T143" s="41"/>
      <c r="U143" s="41"/>
      <c r="V143" s="41"/>
      <c r="W143" s="41"/>
    </row>
    <row r="144">
      <c r="A144" s="41"/>
      <c r="B144" s="41"/>
      <c r="C144" s="41"/>
      <c r="D144" s="41"/>
      <c r="E144" s="41"/>
      <c r="F144" s="41"/>
      <c r="G144" s="41"/>
      <c r="H144" s="43"/>
      <c r="I144" s="41"/>
      <c r="J144" s="41"/>
      <c r="K144" s="41"/>
      <c r="L144" s="41"/>
      <c r="M144" s="41"/>
      <c r="N144" s="41"/>
      <c r="O144" s="41"/>
      <c r="P144" s="43"/>
      <c r="Q144" s="41"/>
      <c r="R144" s="41"/>
      <c r="S144" s="41"/>
      <c r="T144" s="41"/>
      <c r="U144" s="41"/>
      <c r="V144" s="41"/>
      <c r="W144" s="41"/>
    </row>
    <row r="145">
      <c r="A145" s="41"/>
      <c r="B145" s="41"/>
      <c r="C145" s="41"/>
      <c r="D145" s="41"/>
      <c r="E145" s="41"/>
      <c r="F145" s="41"/>
      <c r="G145" s="41"/>
      <c r="H145" s="43"/>
      <c r="I145" s="41"/>
      <c r="J145" s="41"/>
      <c r="K145" s="41"/>
      <c r="L145" s="41"/>
      <c r="M145" s="41"/>
      <c r="N145" s="41"/>
      <c r="O145" s="41"/>
      <c r="P145" s="43"/>
      <c r="Q145" s="41"/>
      <c r="R145" s="41"/>
      <c r="S145" s="41"/>
      <c r="T145" s="41"/>
      <c r="U145" s="41"/>
      <c r="V145" s="41"/>
      <c r="W145" s="41"/>
    </row>
    <row r="146">
      <c r="A146" s="41"/>
      <c r="B146" s="41"/>
      <c r="C146" s="41"/>
      <c r="D146" s="41"/>
      <c r="E146" s="41"/>
      <c r="F146" s="41"/>
      <c r="G146" s="41"/>
      <c r="H146" s="43"/>
      <c r="I146" s="41"/>
      <c r="J146" s="41"/>
      <c r="K146" s="41"/>
      <c r="L146" s="41"/>
      <c r="M146" s="41"/>
      <c r="N146" s="41"/>
      <c r="O146" s="41"/>
      <c r="P146" s="43"/>
      <c r="Q146" s="41"/>
      <c r="R146" s="41"/>
      <c r="S146" s="41"/>
      <c r="T146" s="41"/>
      <c r="U146" s="41"/>
      <c r="V146" s="41"/>
      <c r="W146" s="41"/>
    </row>
    <row r="147">
      <c r="A147" s="41"/>
      <c r="B147" s="41"/>
      <c r="C147" s="41"/>
      <c r="D147" s="41"/>
      <c r="E147" s="41"/>
      <c r="F147" s="41"/>
      <c r="G147" s="41"/>
      <c r="H147" s="43"/>
      <c r="I147" s="41"/>
      <c r="J147" s="41"/>
      <c r="K147" s="41"/>
      <c r="L147" s="41"/>
      <c r="M147" s="41"/>
      <c r="N147" s="41"/>
      <c r="O147" s="41"/>
      <c r="P147" s="43"/>
      <c r="Q147" s="41"/>
      <c r="R147" s="41"/>
      <c r="S147" s="41"/>
      <c r="T147" s="41"/>
      <c r="U147" s="41"/>
      <c r="V147" s="41"/>
      <c r="W147" s="41"/>
    </row>
    <row r="148">
      <c r="A148" s="41"/>
      <c r="B148" s="41"/>
      <c r="C148" s="41"/>
      <c r="D148" s="41"/>
      <c r="E148" s="41"/>
      <c r="F148" s="41"/>
      <c r="G148" s="41"/>
      <c r="H148" s="43"/>
      <c r="I148" s="41"/>
      <c r="J148" s="41"/>
      <c r="K148" s="41"/>
      <c r="L148" s="41"/>
      <c r="M148" s="41"/>
      <c r="N148" s="41"/>
      <c r="O148" s="41"/>
      <c r="P148" s="43"/>
      <c r="Q148" s="41"/>
      <c r="R148" s="41"/>
      <c r="S148" s="41"/>
      <c r="T148" s="41"/>
      <c r="U148" s="41"/>
      <c r="V148" s="41"/>
      <c r="W148" s="41"/>
    </row>
    <row r="149">
      <c r="A149" s="41"/>
      <c r="B149" s="41"/>
      <c r="C149" s="41"/>
      <c r="D149" s="41"/>
      <c r="E149" s="41"/>
      <c r="F149" s="41"/>
      <c r="G149" s="41"/>
      <c r="H149" s="43"/>
      <c r="I149" s="41"/>
      <c r="J149" s="41"/>
      <c r="K149" s="41"/>
      <c r="L149" s="41"/>
      <c r="M149" s="41"/>
      <c r="N149" s="41"/>
      <c r="O149" s="41"/>
      <c r="P149" s="43"/>
      <c r="Q149" s="41"/>
      <c r="R149" s="41"/>
      <c r="S149" s="41"/>
      <c r="T149" s="41"/>
      <c r="U149" s="41"/>
      <c r="V149" s="41"/>
      <c r="W149" s="41"/>
    </row>
    <row r="150">
      <c r="A150" s="41"/>
      <c r="B150" s="41"/>
      <c r="C150" s="41"/>
      <c r="D150" s="41"/>
      <c r="E150" s="41"/>
      <c r="F150" s="41"/>
      <c r="G150" s="41"/>
      <c r="H150" s="43"/>
      <c r="I150" s="41"/>
      <c r="J150" s="41"/>
      <c r="K150" s="41"/>
      <c r="L150" s="41"/>
      <c r="M150" s="41"/>
      <c r="N150" s="41"/>
      <c r="O150" s="41"/>
      <c r="P150" s="43"/>
      <c r="Q150" s="41"/>
      <c r="R150" s="41"/>
      <c r="S150" s="41"/>
      <c r="T150" s="41"/>
      <c r="U150" s="41"/>
      <c r="V150" s="41"/>
      <c r="W150" s="41"/>
    </row>
    <row r="151">
      <c r="A151" s="41"/>
      <c r="B151" s="41"/>
      <c r="C151" s="41"/>
      <c r="D151" s="41"/>
      <c r="E151" s="41"/>
      <c r="F151" s="41"/>
      <c r="G151" s="41"/>
      <c r="H151" s="43"/>
      <c r="I151" s="41"/>
      <c r="J151" s="41"/>
      <c r="K151" s="41"/>
      <c r="L151" s="41"/>
      <c r="M151" s="41"/>
      <c r="N151" s="41"/>
      <c r="O151" s="41"/>
      <c r="P151" s="43"/>
      <c r="Q151" s="41"/>
      <c r="R151" s="41"/>
      <c r="S151" s="41"/>
      <c r="T151" s="41"/>
      <c r="U151" s="41"/>
      <c r="V151" s="41"/>
      <c r="W151" s="41"/>
    </row>
    <row r="152">
      <c r="A152" s="41"/>
      <c r="B152" s="41"/>
      <c r="C152" s="41"/>
      <c r="D152" s="41"/>
      <c r="E152" s="41"/>
      <c r="F152" s="41"/>
      <c r="G152" s="41"/>
      <c r="H152" s="43"/>
      <c r="I152" s="41"/>
      <c r="J152" s="41"/>
      <c r="K152" s="41"/>
      <c r="L152" s="41"/>
      <c r="M152" s="41"/>
      <c r="N152" s="41"/>
      <c r="O152" s="41"/>
      <c r="P152" s="43"/>
      <c r="Q152" s="41"/>
      <c r="R152" s="41"/>
      <c r="S152" s="41"/>
      <c r="T152" s="41"/>
      <c r="U152" s="41"/>
      <c r="V152" s="41"/>
      <c r="W152" s="41"/>
    </row>
    <row r="153">
      <c r="A153" s="41"/>
      <c r="B153" s="41"/>
      <c r="C153" s="41"/>
      <c r="D153" s="41"/>
      <c r="E153" s="41"/>
      <c r="F153" s="41"/>
      <c r="G153" s="41"/>
      <c r="H153" s="43"/>
      <c r="I153" s="41"/>
      <c r="J153" s="41"/>
      <c r="K153" s="41"/>
      <c r="L153" s="41"/>
      <c r="M153" s="41"/>
      <c r="N153" s="41"/>
      <c r="O153" s="41"/>
      <c r="P153" s="43"/>
      <c r="Q153" s="41"/>
      <c r="R153" s="41"/>
      <c r="S153" s="41"/>
      <c r="T153" s="41"/>
      <c r="U153" s="41"/>
      <c r="V153" s="41"/>
      <c r="W153" s="41"/>
    </row>
    <row r="154">
      <c r="A154" s="41"/>
      <c r="B154" s="41"/>
      <c r="C154" s="41"/>
      <c r="D154" s="41"/>
      <c r="E154" s="41"/>
      <c r="F154" s="41"/>
      <c r="G154" s="41"/>
      <c r="H154" s="43"/>
      <c r="I154" s="41"/>
      <c r="J154" s="41"/>
      <c r="K154" s="41"/>
      <c r="L154" s="41"/>
      <c r="M154" s="41"/>
      <c r="N154" s="41"/>
      <c r="O154" s="41"/>
      <c r="P154" s="43"/>
      <c r="Q154" s="41"/>
      <c r="R154" s="41"/>
      <c r="S154" s="41"/>
      <c r="T154" s="41"/>
      <c r="U154" s="41"/>
      <c r="V154" s="41"/>
      <c r="W154" s="41"/>
    </row>
    <row r="155">
      <c r="A155" s="41"/>
      <c r="B155" s="41"/>
      <c r="C155" s="41"/>
      <c r="D155" s="41"/>
      <c r="E155" s="41"/>
      <c r="F155" s="41"/>
      <c r="G155" s="41"/>
      <c r="H155" s="43"/>
      <c r="I155" s="41"/>
      <c r="J155" s="41"/>
      <c r="K155" s="41"/>
      <c r="L155" s="41"/>
      <c r="M155" s="41"/>
      <c r="N155" s="41"/>
      <c r="O155" s="41"/>
      <c r="P155" s="43"/>
      <c r="Q155" s="41"/>
      <c r="R155" s="41"/>
      <c r="S155" s="41"/>
      <c r="T155" s="41"/>
      <c r="U155" s="41"/>
      <c r="V155" s="41"/>
      <c r="W155" s="41"/>
    </row>
    <row r="156">
      <c r="A156" s="41"/>
      <c r="B156" s="41"/>
      <c r="C156" s="41"/>
      <c r="D156" s="41"/>
      <c r="E156" s="41"/>
      <c r="F156" s="41"/>
      <c r="G156" s="41"/>
      <c r="H156" s="43"/>
      <c r="I156" s="41"/>
      <c r="J156" s="41"/>
      <c r="K156" s="41"/>
      <c r="L156" s="41"/>
      <c r="M156" s="41"/>
      <c r="N156" s="41"/>
      <c r="O156" s="41"/>
      <c r="P156" s="43"/>
      <c r="Q156" s="41"/>
      <c r="R156" s="41"/>
      <c r="S156" s="41"/>
      <c r="T156" s="41"/>
      <c r="U156" s="41"/>
      <c r="V156" s="41"/>
      <c r="W156" s="41"/>
    </row>
    <row r="157">
      <c r="A157" s="41"/>
      <c r="B157" s="41"/>
      <c r="C157" s="41"/>
      <c r="D157" s="41"/>
      <c r="E157" s="41"/>
      <c r="F157" s="41"/>
      <c r="G157" s="41"/>
      <c r="H157" s="43"/>
      <c r="I157" s="41"/>
      <c r="J157" s="41"/>
      <c r="K157" s="41"/>
      <c r="L157" s="41"/>
      <c r="M157" s="41"/>
      <c r="N157" s="41"/>
      <c r="O157" s="41"/>
      <c r="P157" s="43"/>
      <c r="Q157" s="41"/>
      <c r="R157" s="41"/>
      <c r="S157" s="41"/>
      <c r="T157" s="41"/>
      <c r="U157" s="41"/>
      <c r="V157" s="41"/>
      <c r="W157" s="41"/>
    </row>
    <row r="158">
      <c r="A158" s="41"/>
      <c r="B158" s="41"/>
      <c r="C158" s="41"/>
      <c r="D158" s="41"/>
      <c r="E158" s="41"/>
      <c r="F158" s="41"/>
      <c r="G158" s="41"/>
      <c r="H158" s="43"/>
      <c r="I158" s="41"/>
      <c r="J158" s="41"/>
      <c r="K158" s="41"/>
      <c r="L158" s="41"/>
      <c r="M158" s="41"/>
      <c r="N158" s="41"/>
      <c r="O158" s="41"/>
      <c r="P158" s="43"/>
      <c r="Q158" s="41"/>
      <c r="R158" s="41"/>
      <c r="S158" s="41"/>
      <c r="T158" s="41"/>
      <c r="U158" s="41"/>
      <c r="V158" s="41"/>
      <c r="W158" s="41"/>
    </row>
    <row r="159">
      <c r="A159" s="41"/>
      <c r="B159" s="41"/>
      <c r="C159" s="41"/>
      <c r="D159" s="41"/>
      <c r="E159" s="41"/>
      <c r="F159" s="41"/>
      <c r="G159" s="41"/>
      <c r="H159" s="43"/>
      <c r="I159" s="41"/>
      <c r="J159" s="41"/>
      <c r="K159" s="41"/>
      <c r="L159" s="41"/>
      <c r="M159" s="41"/>
      <c r="N159" s="41"/>
      <c r="O159" s="41"/>
      <c r="P159" s="43"/>
      <c r="Q159" s="41"/>
      <c r="R159" s="41"/>
      <c r="S159" s="41"/>
      <c r="T159" s="41"/>
      <c r="U159" s="41"/>
      <c r="V159" s="41"/>
      <c r="W159" s="41"/>
    </row>
    <row r="160">
      <c r="A160" s="41"/>
      <c r="B160" s="41"/>
      <c r="C160" s="41"/>
      <c r="D160" s="41"/>
      <c r="E160" s="41"/>
      <c r="F160" s="41"/>
      <c r="G160" s="41"/>
      <c r="H160" s="43"/>
      <c r="I160" s="41"/>
      <c r="J160" s="41"/>
      <c r="K160" s="41"/>
      <c r="L160" s="41"/>
      <c r="M160" s="41"/>
      <c r="N160" s="41"/>
      <c r="O160" s="41"/>
      <c r="P160" s="43"/>
      <c r="Q160" s="41"/>
      <c r="R160" s="41"/>
      <c r="S160" s="41"/>
      <c r="T160" s="41"/>
      <c r="U160" s="41"/>
      <c r="V160" s="41"/>
      <c r="W160" s="41"/>
    </row>
    <row r="161">
      <c r="A161" s="41"/>
      <c r="B161" s="41"/>
      <c r="C161" s="41"/>
      <c r="D161" s="41"/>
      <c r="E161" s="41"/>
      <c r="F161" s="41"/>
      <c r="G161" s="41"/>
      <c r="H161" s="43"/>
      <c r="I161" s="41"/>
      <c r="J161" s="41"/>
      <c r="K161" s="41"/>
      <c r="L161" s="41"/>
      <c r="M161" s="41"/>
      <c r="N161" s="41"/>
      <c r="O161" s="41"/>
      <c r="P161" s="43"/>
      <c r="Q161" s="41"/>
      <c r="R161" s="41"/>
      <c r="S161" s="41"/>
      <c r="T161" s="41"/>
      <c r="U161" s="41"/>
      <c r="V161" s="41"/>
      <c r="W161" s="41"/>
    </row>
    <row r="162">
      <c r="A162" s="41"/>
      <c r="B162" s="41"/>
      <c r="C162" s="41"/>
      <c r="D162" s="41"/>
      <c r="E162" s="41"/>
      <c r="F162" s="41"/>
      <c r="G162" s="41"/>
      <c r="H162" s="43"/>
      <c r="I162" s="41"/>
      <c r="J162" s="41"/>
      <c r="K162" s="41"/>
      <c r="L162" s="41"/>
      <c r="M162" s="41"/>
      <c r="N162" s="41"/>
      <c r="O162" s="41"/>
      <c r="P162" s="43"/>
      <c r="Q162" s="41"/>
      <c r="R162" s="41"/>
      <c r="S162" s="41"/>
      <c r="T162" s="41"/>
      <c r="U162" s="41"/>
      <c r="V162" s="41"/>
      <c r="W162" s="41"/>
    </row>
    <row r="163">
      <c r="A163" s="41"/>
      <c r="B163" s="41"/>
      <c r="C163" s="41"/>
      <c r="D163" s="41"/>
      <c r="E163" s="41"/>
      <c r="F163" s="41"/>
      <c r="G163" s="41"/>
      <c r="H163" s="43"/>
      <c r="I163" s="41"/>
      <c r="J163" s="41"/>
      <c r="K163" s="41"/>
      <c r="L163" s="41"/>
      <c r="M163" s="41"/>
      <c r="N163" s="41"/>
      <c r="O163" s="41"/>
      <c r="P163" s="43"/>
      <c r="Q163" s="41"/>
      <c r="R163" s="41"/>
      <c r="S163" s="41"/>
      <c r="T163" s="41"/>
      <c r="U163" s="41"/>
      <c r="V163" s="41"/>
      <c r="W163" s="41"/>
    </row>
    <row r="164">
      <c r="A164" s="41"/>
      <c r="B164" s="41"/>
      <c r="C164" s="41"/>
      <c r="D164" s="41"/>
      <c r="E164" s="41"/>
      <c r="F164" s="41"/>
      <c r="G164" s="41"/>
      <c r="H164" s="43"/>
      <c r="I164" s="41"/>
      <c r="J164" s="41"/>
      <c r="K164" s="41"/>
      <c r="L164" s="41"/>
      <c r="M164" s="41"/>
      <c r="N164" s="41"/>
      <c r="O164" s="41"/>
      <c r="P164" s="43"/>
      <c r="Q164" s="41"/>
      <c r="R164" s="41"/>
      <c r="S164" s="41"/>
      <c r="T164" s="41"/>
      <c r="U164" s="41"/>
      <c r="V164" s="41"/>
      <c r="W164" s="41"/>
    </row>
    <row r="165">
      <c r="A165" s="41"/>
      <c r="B165" s="41"/>
      <c r="C165" s="41"/>
      <c r="D165" s="41"/>
      <c r="E165" s="41"/>
      <c r="F165" s="41"/>
      <c r="G165" s="41"/>
      <c r="H165" s="43"/>
      <c r="I165" s="41"/>
      <c r="J165" s="41"/>
      <c r="K165" s="41"/>
      <c r="L165" s="41"/>
      <c r="M165" s="41"/>
      <c r="N165" s="41"/>
      <c r="O165" s="41"/>
      <c r="P165" s="43"/>
      <c r="Q165" s="41"/>
      <c r="R165" s="41"/>
      <c r="S165" s="41"/>
      <c r="T165" s="41"/>
      <c r="U165" s="41"/>
      <c r="V165" s="41"/>
      <c r="W165" s="41"/>
    </row>
    <row r="166">
      <c r="A166" s="41"/>
      <c r="B166" s="41"/>
      <c r="C166" s="41"/>
      <c r="D166" s="41"/>
      <c r="E166" s="41"/>
      <c r="F166" s="41"/>
      <c r="G166" s="41"/>
      <c r="H166" s="43"/>
      <c r="I166" s="41"/>
      <c r="J166" s="41"/>
      <c r="K166" s="41"/>
      <c r="L166" s="41"/>
      <c r="M166" s="41"/>
      <c r="N166" s="41"/>
      <c r="O166" s="41"/>
      <c r="P166" s="43"/>
      <c r="Q166" s="41"/>
      <c r="R166" s="41"/>
      <c r="S166" s="41"/>
      <c r="T166" s="41"/>
      <c r="U166" s="41"/>
      <c r="V166" s="41"/>
      <c r="W166" s="41"/>
    </row>
    <row r="167">
      <c r="A167" s="41"/>
      <c r="B167" s="41"/>
      <c r="C167" s="41"/>
      <c r="D167" s="41"/>
      <c r="E167" s="41"/>
      <c r="F167" s="41"/>
      <c r="G167" s="41"/>
      <c r="H167" s="43"/>
      <c r="I167" s="41"/>
      <c r="J167" s="41"/>
      <c r="K167" s="41"/>
      <c r="L167" s="41"/>
      <c r="M167" s="41"/>
      <c r="N167" s="41"/>
      <c r="O167" s="41"/>
      <c r="P167" s="43"/>
      <c r="Q167" s="41"/>
      <c r="R167" s="41"/>
      <c r="S167" s="41"/>
      <c r="T167" s="41"/>
      <c r="U167" s="41"/>
      <c r="V167" s="41"/>
      <c r="W167" s="41"/>
    </row>
    <row r="168">
      <c r="A168" s="41"/>
      <c r="B168" s="41"/>
      <c r="C168" s="41"/>
      <c r="D168" s="41"/>
      <c r="E168" s="41"/>
      <c r="F168" s="41"/>
      <c r="G168" s="41"/>
      <c r="H168" s="43"/>
      <c r="I168" s="41"/>
      <c r="J168" s="41"/>
      <c r="K168" s="41"/>
      <c r="L168" s="41"/>
      <c r="M168" s="41"/>
      <c r="N168" s="41"/>
      <c r="O168" s="41"/>
      <c r="P168" s="43"/>
      <c r="Q168" s="41"/>
      <c r="R168" s="41"/>
      <c r="S168" s="41"/>
      <c r="T168" s="41"/>
      <c r="U168" s="41"/>
      <c r="V168" s="41"/>
      <c r="W168" s="41"/>
    </row>
    <row r="169">
      <c r="A169" s="41"/>
      <c r="B169" s="41"/>
      <c r="C169" s="41"/>
      <c r="D169" s="41"/>
      <c r="E169" s="41"/>
      <c r="F169" s="41"/>
      <c r="G169" s="41"/>
      <c r="H169" s="43"/>
      <c r="I169" s="41"/>
      <c r="J169" s="41"/>
      <c r="K169" s="41"/>
      <c r="L169" s="41"/>
      <c r="M169" s="41"/>
      <c r="N169" s="41"/>
      <c r="O169" s="41"/>
      <c r="P169" s="43"/>
      <c r="Q169" s="41"/>
      <c r="R169" s="41"/>
      <c r="S169" s="41"/>
      <c r="T169" s="41"/>
      <c r="U169" s="41"/>
      <c r="V169" s="41"/>
      <c r="W169" s="41"/>
    </row>
    <row r="170">
      <c r="A170" s="41"/>
      <c r="B170" s="41"/>
      <c r="C170" s="41"/>
      <c r="D170" s="41"/>
      <c r="E170" s="41"/>
      <c r="F170" s="41"/>
      <c r="G170" s="41"/>
      <c r="H170" s="43"/>
      <c r="I170" s="41"/>
      <c r="J170" s="41"/>
      <c r="K170" s="41"/>
      <c r="L170" s="41"/>
      <c r="M170" s="41"/>
      <c r="N170" s="41"/>
      <c r="O170" s="41"/>
      <c r="P170" s="43"/>
      <c r="Q170" s="41"/>
      <c r="R170" s="41"/>
      <c r="S170" s="41"/>
      <c r="T170" s="41"/>
      <c r="U170" s="41"/>
      <c r="V170" s="41"/>
      <c r="W170" s="41"/>
    </row>
    <row r="171">
      <c r="A171" s="41"/>
      <c r="B171" s="41"/>
      <c r="C171" s="41"/>
      <c r="D171" s="41"/>
      <c r="E171" s="41"/>
      <c r="F171" s="41"/>
      <c r="G171" s="41"/>
      <c r="H171" s="43"/>
      <c r="I171" s="41"/>
      <c r="J171" s="41"/>
      <c r="K171" s="41"/>
      <c r="L171" s="41"/>
      <c r="M171" s="41"/>
      <c r="N171" s="41"/>
      <c r="O171" s="41"/>
      <c r="P171" s="43"/>
      <c r="Q171" s="41"/>
      <c r="R171" s="41"/>
      <c r="S171" s="41"/>
      <c r="T171" s="41"/>
      <c r="U171" s="41"/>
      <c r="V171" s="41"/>
      <c r="W171" s="41"/>
    </row>
    <row r="172">
      <c r="A172" s="41"/>
      <c r="B172" s="41"/>
      <c r="C172" s="41"/>
      <c r="D172" s="41"/>
      <c r="E172" s="41"/>
      <c r="F172" s="41"/>
      <c r="G172" s="41"/>
      <c r="H172" s="43"/>
      <c r="I172" s="41"/>
      <c r="J172" s="41"/>
      <c r="K172" s="41"/>
      <c r="L172" s="41"/>
      <c r="M172" s="41"/>
      <c r="N172" s="41"/>
      <c r="O172" s="41"/>
      <c r="P172" s="43"/>
      <c r="Q172" s="41"/>
      <c r="R172" s="41"/>
      <c r="S172" s="41"/>
      <c r="T172" s="41"/>
      <c r="U172" s="41"/>
      <c r="V172" s="41"/>
      <c r="W172" s="41"/>
    </row>
    <row r="173">
      <c r="A173" s="41"/>
      <c r="B173" s="41"/>
      <c r="C173" s="41"/>
      <c r="D173" s="41"/>
      <c r="E173" s="41"/>
      <c r="F173" s="41"/>
      <c r="G173" s="41"/>
      <c r="H173" s="43"/>
      <c r="I173" s="41"/>
      <c r="J173" s="41"/>
      <c r="K173" s="41"/>
      <c r="L173" s="41"/>
      <c r="M173" s="41"/>
      <c r="N173" s="41"/>
      <c r="O173" s="41"/>
      <c r="P173" s="43"/>
      <c r="Q173" s="41"/>
      <c r="R173" s="41"/>
      <c r="S173" s="41"/>
      <c r="T173" s="41"/>
      <c r="U173" s="41"/>
      <c r="V173" s="41"/>
      <c r="W173" s="41"/>
    </row>
    <row r="174">
      <c r="A174" s="41"/>
      <c r="B174" s="41"/>
      <c r="C174" s="41"/>
      <c r="D174" s="41"/>
      <c r="E174" s="41"/>
      <c r="F174" s="41"/>
      <c r="G174" s="41"/>
      <c r="H174" s="43"/>
      <c r="I174" s="41"/>
      <c r="J174" s="41"/>
      <c r="K174" s="41"/>
      <c r="L174" s="41"/>
      <c r="M174" s="41"/>
      <c r="N174" s="41"/>
      <c r="O174" s="41"/>
      <c r="P174" s="43"/>
      <c r="Q174" s="41"/>
      <c r="R174" s="41"/>
      <c r="S174" s="41"/>
      <c r="T174" s="41"/>
      <c r="U174" s="41"/>
      <c r="V174" s="41"/>
      <c r="W174" s="41"/>
    </row>
    <row r="175">
      <c r="A175" s="41"/>
      <c r="B175" s="41"/>
      <c r="C175" s="41"/>
      <c r="D175" s="41"/>
      <c r="E175" s="41"/>
      <c r="F175" s="41"/>
      <c r="G175" s="41"/>
      <c r="H175" s="43"/>
      <c r="I175" s="41"/>
      <c r="J175" s="41"/>
      <c r="K175" s="41"/>
      <c r="L175" s="41"/>
      <c r="M175" s="41"/>
      <c r="N175" s="41"/>
      <c r="O175" s="41"/>
      <c r="P175" s="43"/>
      <c r="Q175" s="41"/>
      <c r="R175" s="41"/>
      <c r="S175" s="41"/>
      <c r="T175" s="41"/>
      <c r="U175" s="41"/>
      <c r="V175" s="41"/>
      <c r="W175" s="41"/>
    </row>
    <row r="176">
      <c r="A176" s="41"/>
      <c r="B176" s="41"/>
      <c r="C176" s="41"/>
      <c r="D176" s="41"/>
      <c r="E176" s="41"/>
      <c r="F176" s="41"/>
      <c r="G176" s="41"/>
      <c r="H176" s="43"/>
      <c r="I176" s="41"/>
      <c r="J176" s="41"/>
      <c r="K176" s="41"/>
      <c r="L176" s="41"/>
      <c r="M176" s="41"/>
      <c r="N176" s="41"/>
      <c r="O176" s="41"/>
      <c r="P176" s="43"/>
      <c r="Q176" s="41"/>
      <c r="R176" s="41"/>
      <c r="S176" s="41"/>
      <c r="T176" s="41"/>
      <c r="U176" s="41"/>
      <c r="V176" s="41"/>
      <c r="W176" s="41"/>
    </row>
    <row r="177">
      <c r="A177" s="41"/>
      <c r="B177" s="41"/>
      <c r="C177" s="41"/>
      <c r="D177" s="41"/>
      <c r="E177" s="41"/>
      <c r="F177" s="41"/>
      <c r="G177" s="41"/>
      <c r="H177" s="43"/>
      <c r="I177" s="41"/>
      <c r="J177" s="41"/>
      <c r="K177" s="41"/>
      <c r="L177" s="41"/>
      <c r="M177" s="41"/>
      <c r="N177" s="41"/>
      <c r="O177" s="41"/>
      <c r="P177" s="43"/>
      <c r="Q177" s="41"/>
      <c r="R177" s="41"/>
      <c r="S177" s="41"/>
      <c r="T177" s="41"/>
      <c r="U177" s="41"/>
      <c r="V177" s="41"/>
      <c r="W177" s="41"/>
    </row>
    <row r="178">
      <c r="A178" s="41"/>
      <c r="B178" s="41"/>
      <c r="C178" s="41"/>
      <c r="D178" s="41"/>
      <c r="E178" s="41"/>
      <c r="F178" s="41"/>
      <c r="G178" s="41"/>
      <c r="H178" s="43"/>
      <c r="I178" s="41"/>
      <c r="J178" s="41"/>
      <c r="K178" s="41"/>
      <c r="L178" s="41"/>
      <c r="M178" s="41"/>
      <c r="N178" s="41"/>
      <c r="O178" s="41"/>
      <c r="P178" s="43"/>
      <c r="Q178" s="41"/>
      <c r="R178" s="41"/>
      <c r="S178" s="41"/>
      <c r="T178" s="41"/>
      <c r="U178" s="41"/>
      <c r="V178" s="41"/>
      <c r="W178" s="41"/>
    </row>
    <row r="179">
      <c r="A179" s="41"/>
      <c r="B179" s="41"/>
      <c r="C179" s="41"/>
      <c r="D179" s="41"/>
      <c r="E179" s="41"/>
      <c r="F179" s="41"/>
      <c r="G179" s="41"/>
      <c r="H179" s="43"/>
      <c r="I179" s="41"/>
      <c r="J179" s="41"/>
      <c r="K179" s="41"/>
      <c r="L179" s="41"/>
      <c r="M179" s="41"/>
      <c r="N179" s="41"/>
      <c r="O179" s="41"/>
      <c r="P179" s="43"/>
      <c r="Q179" s="41"/>
      <c r="R179" s="41"/>
      <c r="S179" s="41"/>
      <c r="T179" s="41"/>
      <c r="U179" s="41"/>
      <c r="V179" s="41"/>
      <c r="W179" s="41"/>
    </row>
    <row r="180">
      <c r="A180" s="41"/>
      <c r="B180" s="41"/>
      <c r="C180" s="41"/>
      <c r="D180" s="41"/>
      <c r="E180" s="41"/>
      <c r="F180" s="41"/>
      <c r="G180" s="41"/>
      <c r="H180" s="43"/>
      <c r="I180" s="41"/>
      <c r="J180" s="41"/>
      <c r="K180" s="41"/>
      <c r="L180" s="41"/>
      <c r="M180" s="41"/>
      <c r="N180" s="41"/>
      <c r="O180" s="41"/>
      <c r="P180" s="43"/>
      <c r="Q180" s="41"/>
      <c r="R180" s="41"/>
      <c r="S180" s="41"/>
      <c r="T180" s="41"/>
      <c r="U180" s="41"/>
      <c r="V180" s="41"/>
      <c r="W180" s="41"/>
    </row>
    <row r="181">
      <c r="A181" s="41"/>
      <c r="B181" s="41"/>
      <c r="C181" s="41"/>
      <c r="D181" s="41"/>
      <c r="E181" s="41"/>
      <c r="F181" s="41"/>
      <c r="G181" s="41"/>
      <c r="H181" s="43"/>
      <c r="I181" s="41"/>
      <c r="J181" s="41"/>
      <c r="K181" s="41"/>
      <c r="L181" s="41"/>
      <c r="M181" s="41"/>
      <c r="N181" s="41"/>
      <c r="O181" s="41"/>
      <c r="P181" s="43"/>
      <c r="Q181" s="41"/>
      <c r="R181" s="41"/>
      <c r="S181" s="41"/>
      <c r="T181" s="41"/>
      <c r="U181" s="41"/>
      <c r="V181" s="41"/>
      <c r="W181" s="41"/>
    </row>
    <row r="182">
      <c r="A182" s="41"/>
      <c r="B182" s="41"/>
      <c r="C182" s="41"/>
      <c r="D182" s="41"/>
      <c r="E182" s="41"/>
      <c r="F182" s="41"/>
      <c r="G182" s="41"/>
      <c r="H182" s="43"/>
      <c r="I182" s="41"/>
      <c r="J182" s="41"/>
      <c r="K182" s="41"/>
      <c r="L182" s="41"/>
      <c r="M182" s="41"/>
      <c r="N182" s="41"/>
      <c r="O182" s="41"/>
      <c r="P182" s="43"/>
      <c r="Q182" s="41"/>
      <c r="R182" s="41"/>
      <c r="S182" s="41"/>
      <c r="T182" s="41"/>
      <c r="U182" s="41"/>
      <c r="V182" s="41"/>
      <c r="W182" s="41"/>
    </row>
    <row r="183">
      <c r="A183" s="41"/>
      <c r="B183" s="41"/>
      <c r="C183" s="41"/>
      <c r="D183" s="41"/>
      <c r="E183" s="41"/>
      <c r="F183" s="41"/>
      <c r="G183" s="41"/>
      <c r="H183" s="43"/>
      <c r="I183" s="41"/>
      <c r="J183" s="41"/>
      <c r="K183" s="41"/>
      <c r="L183" s="41"/>
      <c r="M183" s="41"/>
      <c r="N183" s="41"/>
      <c r="O183" s="41"/>
      <c r="P183" s="43"/>
      <c r="Q183" s="41"/>
      <c r="R183" s="41"/>
      <c r="S183" s="41"/>
      <c r="T183" s="41"/>
      <c r="U183" s="41"/>
      <c r="V183" s="41"/>
      <c r="W183" s="41"/>
    </row>
    <row r="184">
      <c r="A184" s="41"/>
      <c r="B184" s="41"/>
      <c r="C184" s="41"/>
      <c r="D184" s="41"/>
      <c r="E184" s="41"/>
      <c r="F184" s="41"/>
      <c r="G184" s="41"/>
      <c r="H184" s="43"/>
      <c r="I184" s="41"/>
      <c r="J184" s="41"/>
      <c r="K184" s="41"/>
      <c r="L184" s="41"/>
      <c r="M184" s="41"/>
      <c r="N184" s="41"/>
      <c r="O184" s="41"/>
      <c r="P184" s="43"/>
      <c r="Q184" s="41"/>
      <c r="R184" s="41"/>
      <c r="S184" s="41"/>
      <c r="T184" s="41"/>
      <c r="U184" s="41"/>
      <c r="V184" s="41"/>
      <c r="W184" s="41"/>
    </row>
    <row r="185">
      <c r="A185" s="41"/>
      <c r="B185" s="41"/>
      <c r="C185" s="41"/>
      <c r="D185" s="41"/>
      <c r="E185" s="41"/>
      <c r="F185" s="41"/>
      <c r="G185" s="41"/>
      <c r="H185" s="43"/>
      <c r="I185" s="41"/>
      <c r="J185" s="41"/>
      <c r="K185" s="41"/>
      <c r="L185" s="41"/>
      <c r="M185" s="41"/>
      <c r="N185" s="41"/>
      <c r="O185" s="41"/>
      <c r="P185" s="43"/>
      <c r="Q185" s="41"/>
      <c r="R185" s="41"/>
      <c r="S185" s="41"/>
      <c r="T185" s="41"/>
      <c r="U185" s="41"/>
      <c r="V185" s="41"/>
      <c r="W185" s="41"/>
    </row>
    <row r="186">
      <c r="A186" s="41"/>
      <c r="B186" s="41"/>
      <c r="C186" s="41"/>
      <c r="D186" s="41"/>
      <c r="E186" s="41"/>
      <c r="F186" s="41"/>
      <c r="G186" s="41"/>
      <c r="H186" s="43"/>
      <c r="I186" s="41"/>
      <c r="J186" s="41"/>
      <c r="K186" s="41"/>
      <c r="L186" s="41"/>
      <c r="M186" s="41"/>
      <c r="N186" s="41"/>
      <c r="O186" s="41"/>
      <c r="P186" s="43"/>
      <c r="Q186" s="41"/>
      <c r="R186" s="41"/>
      <c r="S186" s="41"/>
      <c r="T186" s="41"/>
      <c r="U186" s="41"/>
      <c r="V186" s="41"/>
      <c r="W186" s="41"/>
    </row>
    <row r="187">
      <c r="A187" s="41"/>
      <c r="B187" s="41"/>
      <c r="C187" s="41"/>
      <c r="D187" s="41"/>
      <c r="E187" s="41"/>
      <c r="F187" s="41"/>
      <c r="G187" s="41"/>
      <c r="H187" s="43"/>
      <c r="I187" s="41"/>
      <c r="J187" s="41"/>
      <c r="K187" s="41"/>
      <c r="L187" s="41"/>
      <c r="M187" s="41"/>
      <c r="N187" s="41"/>
      <c r="O187" s="41"/>
      <c r="P187" s="43"/>
      <c r="Q187" s="41"/>
      <c r="R187" s="41"/>
      <c r="S187" s="41"/>
      <c r="T187" s="41"/>
      <c r="U187" s="41"/>
      <c r="V187" s="41"/>
      <c r="W187" s="41"/>
    </row>
    <row r="188">
      <c r="A188" s="41"/>
      <c r="B188" s="41"/>
      <c r="C188" s="41"/>
      <c r="D188" s="41"/>
      <c r="E188" s="41"/>
      <c r="F188" s="41"/>
      <c r="G188" s="41"/>
      <c r="H188" s="43"/>
      <c r="I188" s="41"/>
      <c r="J188" s="41"/>
      <c r="K188" s="41"/>
      <c r="L188" s="41"/>
      <c r="M188" s="41"/>
      <c r="N188" s="41"/>
      <c r="O188" s="41"/>
      <c r="P188" s="43"/>
      <c r="Q188" s="41"/>
      <c r="R188" s="41"/>
      <c r="S188" s="41"/>
      <c r="T188" s="41"/>
      <c r="U188" s="41"/>
      <c r="V188" s="41"/>
      <c r="W188" s="41"/>
    </row>
    <row r="189">
      <c r="A189" s="41"/>
      <c r="B189" s="41"/>
      <c r="C189" s="41"/>
      <c r="D189" s="41"/>
      <c r="E189" s="41"/>
      <c r="F189" s="41"/>
      <c r="G189" s="41"/>
      <c r="H189" s="43"/>
      <c r="I189" s="41"/>
      <c r="J189" s="41"/>
      <c r="K189" s="41"/>
      <c r="L189" s="41"/>
      <c r="M189" s="41"/>
      <c r="N189" s="41"/>
      <c r="O189" s="41"/>
      <c r="P189" s="43"/>
      <c r="Q189" s="41"/>
      <c r="R189" s="41"/>
      <c r="S189" s="41"/>
      <c r="T189" s="41"/>
      <c r="U189" s="41"/>
      <c r="V189" s="41"/>
      <c r="W189" s="41"/>
    </row>
    <row r="190">
      <c r="A190" s="41"/>
      <c r="B190" s="41"/>
      <c r="C190" s="41"/>
      <c r="D190" s="41"/>
      <c r="E190" s="41"/>
      <c r="F190" s="41"/>
      <c r="G190" s="41"/>
      <c r="H190" s="43"/>
      <c r="I190" s="41"/>
      <c r="J190" s="41"/>
      <c r="K190" s="41"/>
      <c r="L190" s="41"/>
      <c r="M190" s="41"/>
      <c r="N190" s="41"/>
      <c r="O190" s="41"/>
      <c r="P190" s="43"/>
      <c r="Q190" s="41"/>
      <c r="R190" s="41"/>
      <c r="S190" s="41"/>
      <c r="T190" s="41"/>
      <c r="U190" s="41"/>
      <c r="V190" s="41"/>
      <c r="W190" s="41"/>
    </row>
    <row r="191">
      <c r="A191" s="41"/>
      <c r="B191" s="41"/>
      <c r="C191" s="41"/>
      <c r="D191" s="41"/>
      <c r="E191" s="41"/>
      <c r="F191" s="41"/>
      <c r="G191" s="41"/>
      <c r="H191" s="43"/>
      <c r="I191" s="41"/>
      <c r="J191" s="41"/>
      <c r="K191" s="41"/>
      <c r="L191" s="41"/>
      <c r="M191" s="41"/>
      <c r="N191" s="41"/>
      <c r="O191" s="41"/>
      <c r="P191" s="43"/>
      <c r="Q191" s="41"/>
      <c r="R191" s="41"/>
      <c r="S191" s="41"/>
      <c r="T191" s="41"/>
      <c r="U191" s="41"/>
      <c r="V191" s="41"/>
      <c r="W191" s="41"/>
    </row>
    <row r="192">
      <c r="A192" s="41"/>
      <c r="B192" s="41"/>
      <c r="C192" s="41"/>
      <c r="D192" s="41"/>
      <c r="E192" s="41"/>
      <c r="F192" s="41"/>
      <c r="G192" s="41"/>
      <c r="H192" s="43"/>
      <c r="I192" s="41"/>
      <c r="J192" s="41"/>
      <c r="K192" s="41"/>
      <c r="L192" s="41"/>
      <c r="M192" s="41"/>
      <c r="N192" s="41"/>
      <c r="O192" s="41"/>
      <c r="P192" s="43"/>
      <c r="Q192" s="41"/>
      <c r="R192" s="41"/>
      <c r="S192" s="41"/>
      <c r="T192" s="41"/>
      <c r="U192" s="41"/>
      <c r="V192" s="41"/>
      <c r="W192" s="41"/>
    </row>
    <row r="193">
      <c r="A193" s="41"/>
      <c r="B193" s="41"/>
      <c r="C193" s="41"/>
      <c r="D193" s="41"/>
      <c r="E193" s="41"/>
      <c r="F193" s="41"/>
      <c r="G193" s="41"/>
      <c r="H193" s="43"/>
      <c r="I193" s="41"/>
      <c r="J193" s="41"/>
      <c r="K193" s="41"/>
      <c r="L193" s="41"/>
      <c r="M193" s="41"/>
      <c r="N193" s="41"/>
      <c r="O193" s="41"/>
      <c r="P193" s="43"/>
      <c r="Q193" s="41"/>
      <c r="R193" s="41"/>
      <c r="S193" s="41"/>
      <c r="T193" s="41"/>
      <c r="U193" s="41"/>
      <c r="V193" s="41"/>
      <c r="W193" s="41"/>
    </row>
    <row r="194">
      <c r="A194" s="41"/>
      <c r="B194" s="41"/>
      <c r="C194" s="41"/>
      <c r="D194" s="41"/>
      <c r="E194" s="41"/>
      <c r="F194" s="41"/>
      <c r="G194" s="41"/>
      <c r="H194" s="43"/>
      <c r="I194" s="41"/>
      <c r="J194" s="41"/>
      <c r="K194" s="41"/>
      <c r="L194" s="41"/>
      <c r="M194" s="41"/>
      <c r="N194" s="41"/>
      <c r="O194" s="41"/>
      <c r="P194" s="43"/>
      <c r="Q194" s="41"/>
      <c r="R194" s="41"/>
      <c r="S194" s="41"/>
      <c r="T194" s="41"/>
      <c r="U194" s="41"/>
      <c r="V194" s="41"/>
      <c r="W194" s="41"/>
    </row>
    <row r="195">
      <c r="A195" s="41"/>
      <c r="B195" s="41"/>
      <c r="C195" s="41"/>
      <c r="D195" s="41"/>
      <c r="E195" s="41"/>
      <c r="F195" s="41"/>
      <c r="G195" s="41"/>
      <c r="H195" s="43"/>
      <c r="I195" s="41"/>
      <c r="J195" s="41"/>
      <c r="K195" s="41"/>
      <c r="L195" s="41"/>
      <c r="M195" s="41"/>
      <c r="N195" s="41"/>
      <c r="O195" s="41"/>
      <c r="P195" s="43"/>
      <c r="Q195" s="41"/>
      <c r="R195" s="41"/>
      <c r="S195" s="41"/>
      <c r="T195" s="41"/>
      <c r="U195" s="41"/>
      <c r="V195" s="41"/>
      <c r="W195" s="41"/>
    </row>
    <row r="196">
      <c r="A196" s="41"/>
      <c r="B196" s="41"/>
      <c r="C196" s="41"/>
      <c r="D196" s="41"/>
      <c r="E196" s="41"/>
      <c r="F196" s="41"/>
      <c r="G196" s="41"/>
      <c r="H196" s="43"/>
      <c r="I196" s="41"/>
      <c r="J196" s="41"/>
      <c r="K196" s="41"/>
      <c r="L196" s="41"/>
      <c r="M196" s="41"/>
      <c r="N196" s="41"/>
      <c r="O196" s="41"/>
      <c r="P196" s="43"/>
      <c r="Q196" s="41"/>
      <c r="R196" s="41"/>
      <c r="S196" s="41"/>
      <c r="T196" s="41"/>
      <c r="U196" s="41"/>
      <c r="V196" s="41"/>
      <c r="W196" s="41"/>
    </row>
    <row r="197">
      <c r="A197" s="41"/>
      <c r="B197" s="41"/>
      <c r="C197" s="41"/>
      <c r="D197" s="41"/>
      <c r="E197" s="41"/>
      <c r="F197" s="41"/>
      <c r="G197" s="41"/>
      <c r="H197" s="43"/>
      <c r="I197" s="41"/>
      <c r="J197" s="41"/>
      <c r="K197" s="41"/>
      <c r="L197" s="41"/>
      <c r="M197" s="41"/>
      <c r="N197" s="41"/>
      <c r="O197" s="41"/>
      <c r="P197" s="43"/>
      <c r="Q197" s="41"/>
      <c r="R197" s="41"/>
      <c r="S197" s="41"/>
      <c r="T197" s="41"/>
      <c r="U197" s="41"/>
      <c r="V197" s="41"/>
      <c r="W197" s="41"/>
    </row>
    <row r="198">
      <c r="A198" s="41"/>
      <c r="B198" s="41"/>
      <c r="C198" s="41"/>
      <c r="D198" s="41"/>
      <c r="E198" s="41"/>
      <c r="F198" s="41"/>
      <c r="G198" s="41"/>
      <c r="H198" s="43"/>
      <c r="I198" s="41"/>
      <c r="J198" s="41"/>
      <c r="K198" s="41"/>
      <c r="L198" s="41"/>
      <c r="M198" s="41"/>
      <c r="N198" s="41"/>
      <c r="O198" s="41"/>
      <c r="P198" s="43"/>
      <c r="Q198" s="41"/>
      <c r="R198" s="41"/>
      <c r="S198" s="41"/>
      <c r="T198" s="41"/>
      <c r="U198" s="41"/>
      <c r="V198" s="41"/>
      <c r="W198" s="41"/>
    </row>
    <row r="199">
      <c r="A199" s="41"/>
      <c r="B199" s="41"/>
      <c r="C199" s="41"/>
      <c r="D199" s="41"/>
      <c r="E199" s="41"/>
      <c r="F199" s="41"/>
      <c r="G199" s="41"/>
      <c r="H199" s="43"/>
      <c r="I199" s="41"/>
      <c r="J199" s="41"/>
      <c r="K199" s="41"/>
      <c r="L199" s="41"/>
      <c r="M199" s="41"/>
      <c r="N199" s="41"/>
      <c r="O199" s="41"/>
      <c r="P199" s="43"/>
      <c r="Q199" s="41"/>
      <c r="R199" s="41"/>
      <c r="S199" s="41"/>
      <c r="T199" s="41"/>
      <c r="U199" s="41"/>
      <c r="V199" s="41"/>
      <c r="W199" s="41"/>
    </row>
    <row r="200">
      <c r="A200" s="41"/>
      <c r="B200" s="41"/>
      <c r="C200" s="41"/>
      <c r="D200" s="41"/>
      <c r="E200" s="41"/>
      <c r="F200" s="41"/>
      <c r="G200" s="41"/>
      <c r="H200" s="43"/>
      <c r="I200" s="41"/>
      <c r="J200" s="41"/>
      <c r="K200" s="41"/>
      <c r="L200" s="41"/>
      <c r="M200" s="41"/>
      <c r="N200" s="41"/>
      <c r="O200" s="41"/>
      <c r="P200" s="43"/>
      <c r="Q200" s="41"/>
      <c r="R200" s="41"/>
      <c r="S200" s="41"/>
      <c r="T200" s="41"/>
      <c r="U200" s="41"/>
      <c r="V200" s="41"/>
      <c r="W200" s="41"/>
    </row>
    <row r="201">
      <c r="A201" s="41"/>
      <c r="B201" s="41"/>
      <c r="C201" s="41"/>
      <c r="D201" s="41"/>
      <c r="E201" s="41"/>
      <c r="F201" s="41"/>
      <c r="G201" s="41"/>
      <c r="H201" s="43"/>
      <c r="I201" s="41"/>
      <c r="J201" s="41"/>
      <c r="K201" s="41"/>
      <c r="L201" s="41"/>
      <c r="M201" s="41"/>
      <c r="N201" s="41"/>
      <c r="O201" s="41"/>
      <c r="P201" s="43"/>
      <c r="Q201" s="41"/>
      <c r="R201" s="41"/>
      <c r="S201" s="41"/>
      <c r="T201" s="41"/>
      <c r="U201" s="41"/>
      <c r="V201" s="41"/>
      <c r="W201" s="41"/>
    </row>
    <row r="202">
      <c r="A202" s="41"/>
      <c r="B202" s="41"/>
      <c r="C202" s="41"/>
      <c r="D202" s="41"/>
      <c r="E202" s="41"/>
      <c r="F202" s="41"/>
      <c r="G202" s="41"/>
      <c r="H202" s="43"/>
      <c r="I202" s="41"/>
      <c r="J202" s="41"/>
      <c r="K202" s="41"/>
      <c r="L202" s="41"/>
      <c r="M202" s="41"/>
      <c r="N202" s="41"/>
      <c r="O202" s="41"/>
      <c r="P202" s="43"/>
      <c r="Q202" s="41"/>
      <c r="R202" s="41"/>
      <c r="S202" s="41"/>
      <c r="T202" s="41"/>
      <c r="U202" s="41"/>
      <c r="V202" s="41"/>
      <c r="W202" s="41"/>
    </row>
    <row r="203">
      <c r="A203" s="41"/>
      <c r="B203" s="41"/>
      <c r="C203" s="41"/>
      <c r="D203" s="41"/>
      <c r="E203" s="41"/>
      <c r="F203" s="41"/>
      <c r="G203" s="41"/>
      <c r="H203" s="43"/>
      <c r="I203" s="41"/>
      <c r="J203" s="41"/>
      <c r="K203" s="41"/>
      <c r="L203" s="41"/>
      <c r="M203" s="41"/>
      <c r="N203" s="41"/>
      <c r="O203" s="41"/>
      <c r="P203" s="43"/>
      <c r="Q203" s="41"/>
      <c r="R203" s="41"/>
      <c r="S203" s="41"/>
      <c r="T203" s="41"/>
      <c r="U203" s="41"/>
      <c r="V203" s="41"/>
      <c r="W203" s="41"/>
    </row>
    <row r="204">
      <c r="A204" s="41"/>
      <c r="B204" s="41"/>
      <c r="C204" s="41"/>
      <c r="D204" s="41"/>
      <c r="E204" s="41"/>
      <c r="F204" s="41"/>
      <c r="G204" s="41"/>
      <c r="H204" s="43"/>
      <c r="I204" s="41"/>
      <c r="J204" s="41"/>
      <c r="K204" s="41"/>
      <c r="L204" s="41"/>
      <c r="M204" s="41"/>
      <c r="N204" s="41"/>
      <c r="O204" s="41"/>
      <c r="P204" s="43"/>
      <c r="Q204" s="41"/>
      <c r="R204" s="41"/>
      <c r="S204" s="41"/>
      <c r="T204" s="41"/>
      <c r="U204" s="41"/>
      <c r="V204" s="41"/>
      <c r="W204" s="41"/>
    </row>
    <row r="205">
      <c r="A205" s="41"/>
      <c r="B205" s="41"/>
      <c r="C205" s="41"/>
      <c r="D205" s="41"/>
      <c r="E205" s="41"/>
      <c r="F205" s="41"/>
      <c r="G205" s="41"/>
      <c r="H205" s="43"/>
      <c r="I205" s="41"/>
      <c r="J205" s="41"/>
      <c r="K205" s="41"/>
      <c r="L205" s="41"/>
      <c r="M205" s="41"/>
      <c r="N205" s="41"/>
      <c r="O205" s="41"/>
      <c r="P205" s="43"/>
      <c r="Q205" s="41"/>
      <c r="R205" s="41"/>
      <c r="S205" s="41"/>
      <c r="T205" s="41"/>
      <c r="U205" s="41"/>
      <c r="V205" s="41"/>
      <c r="W205" s="41"/>
    </row>
    <row r="206">
      <c r="A206" s="41"/>
      <c r="B206" s="41"/>
      <c r="C206" s="41"/>
      <c r="D206" s="41"/>
      <c r="E206" s="41"/>
      <c r="F206" s="41"/>
      <c r="G206" s="41"/>
      <c r="H206" s="43"/>
      <c r="I206" s="41"/>
      <c r="J206" s="41"/>
      <c r="K206" s="41"/>
      <c r="L206" s="41"/>
      <c r="M206" s="41"/>
      <c r="N206" s="41"/>
      <c r="O206" s="41"/>
      <c r="P206" s="43"/>
      <c r="Q206" s="41"/>
      <c r="R206" s="41"/>
      <c r="S206" s="41"/>
      <c r="T206" s="41"/>
      <c r="U206" s="41"/>
      <c r="V206" s="41"/>
      <c r="W206" s="41"/>
    </row>
    <row r="207">
      <c r="A207" s="41"/>
      <c r="B207" s="41"/>
      <c r="C207" s="41"/>
      <c r="D207" s="41"/>
      <c r="E207" s="41"/>
      <c r="F207" s="41"/>
      <c r="G207" s="41"/>
      <c r="H207" s="43"/>
      <c r="I207" s="41"/>
      <c r="J207" s="41"/>
      <c r="K207" s="41"/>
      <c r="L207" s="41"/>
      <c r="M207" s="41"/>
      <c r="N207" s="41"/>
      <c r="O207" s="41"/>
      <c r="P207" s="43"/>
      <c r="Q207" s="41"/>
      <c r="R207" s="41"/>
      <c r="S207" s="41"/>
      <c r="T207" s="41"/>
      <c r="U207" s="41"/>
      <c r="V207" s="41"/>
      <c r="W207" s="41"/>
    </row>
    <row r="208">
      <c r="A208" s="41"/>
      <c r="B208" s="41"/>
      <c r="C208" s="41"/>
      <c r="D208" s="41"/>
      <c r="E208" s="41"/>
      <c r="F208" s="41"/>
      <c r="G208" s="41"/>
      <c r="H208" s="43"/>
      <c r="I208" s="41"/>
      <c r="J208" s="41"/>
      <c r="K208" s="41"/>
      <c r="L208" s="41"/>
      <c r="M208" s="41"/>
      <c r="N208" s="41"/>
      <c r="O208" s="41"/>
      <c r="P208" s="43"/>
      <c r="Q208" s="41"/>
      <c r="R208" s="41"/>
      <c r="S208" s="41"/>
      <c r="T208" s="41"/>
      <c r="U208" s="41"/>
      <c r="V208" s="41"/>
      <c r="W208" s="41"/>
    </row>
    <row r="209">
      <c r="A209" s="41"/>
      <c r="B209" s="41"/>
      <c r="C209" s="41"/>
      <c r="D209" s="41"/>
      <c r="E209" s="41"/>
      <c r="F209" s="41"/>
      <c r="G209" s="41"/>
      <c r="H209" s="43"/>
      <c r="I209" s="41"/>
      <c r="J209" s="41"/>
      <c r="K209" s="41"/>
      <c r="L209" s="41"/>
      <c r="M209" s="41"/>
      <c r="N209" s="41"/>
      <c r="O209" s="41"/>
      <c r="P209" s="43"/>
      <c r="Q209" s="41"/>
      <c r="R209" s="41"/>
      <c r="S209" s="41"/>
      <c r="T209" s="41"/>
      <c r="U209" s="41"/>
      <c r="V209" s="41"/>
      <c r="W209" s="41"/>
    </row>
    <row r="210">
      <c r="A210" s="41"/>
      <c r="B210" s="41"/>
      <c r="C210" s="41"/>
      <c r="D210" s="41"/>
      <c r="E210" s="41"/>
      <c r="F210" s="41"/>
      <c r="G210" s="41"/>
      <c r="H210" s="43"/>
      <c r="I210" s="41"/>
      <c r="J210" s="41"/>
      <c r="K210" s="41"/>
      <c r="L210" s="41"/>
      <c r="M210" s="41"/>
      <c r="N210" s="41"/>
      <c r="O210" s="41"/>
      <c r="P210" s="43"/>
      <c r="Q210" s="41"/>
      <c r="R210" s="41"/>
      <c r="S210" s="41"/>
      <c r="T210" s="41"/>
      <c r="U210" s="41"/>
      <c r="V210" s="41"/>
      <c r="W210" s="41"/>
    </row>
    <row r="211">
      <c r="A211" s="41"/>
      <c r="B211" s="41"/>
      <c r="C211" s="41"/>
      <c r="D211" s="41"/>
      <c r="E211" s="41"/>
      <c r="F211" s="41"/>
      <c r="G211" s="41"/>
      <c r="H211" s="43"/>
      <c r="I211" s="41"/>
      <c r="J211" s="41"/>
      <c r="K211" s="41"/>
      <c r="L211" s="41"/>
      <c r="M211" s="41"/>
      <c r="N211" s="41"/>
      <c r="O211" s="41"/>
      <c r="P211" s="43"/>
      <c r="Q211" s="41"/>
      <c r="R211" s="41"/>
      <c r="S211" s="41"/>
      <c r="T211" s="41"/>
      <c r="U211" s="41"/>
      <c r="V211" s="41"/>
      <c r="W211" s="41"/>
    </row>
    <row r="212">
      <c r="A212" s="41"/>
      <c r="B212" s="41"/>
      <c r="C212" s="41"/>
      <c r="D212" s="41"/>
      <c r="E212" s="41"/>
      <c r="F212" s="41"/>
      <c r="G212" s="41"/>
      <c r="H212" s="43"/>
      <c r="I212" s="41"/>
      <c r="J212" s="41"/>
      <c r="K212" s="41"/>
      <c r="L212" s="41"/>
      <c r="M212" s="41"/>
      <c r="N212" s="41"/>
      <c r="O212" s="41"/>
      <c r="P212" s="43"/>
      <c r="Q212" s="41"/>
      <c r="R212" s="41"/>
      <c r="S212" s="41"/>
      <c r="T212" s="41"/>
      <c r="U212" s="41"/>
      <c r="V212" s="41"/>
      <c r="W212" s="41"/>
    </row>
    <row r="213">
      <c r="A213" s="41"/>
      <c r="B213" s="41"/>
      <c r="C213" s="41"/>
      <c r="D213" s="41"/>
      <c r="E213" s="41"/>
      <c r="F213" s="41"/>
      <c r="G213" s="41"/>
      <c r="H213" s="43"/>
      <c r="I213" s="41"/>
      <c r="J213" s="41"/>
      <c r="K213" s="41"/>
      <c r="L213" s="41"/>
      <c r="M213" s="41"/>
      <c r="N213" s="41"/>
      <c r="O213" s="41"/>
      <c r="P213" s="43"/>
      <c r="Q213" s="41"/>
      <c r="R213" s="41"/>
      <c r="S213" s="41"/>
      <c r="T213" s="41"/>
      <c r="U213" s="41"/>
      <c r="V213" s="41"/>
      <c r="W213" s="41"/>
    </row>
    <row r="214">
      <c r="A214" s="41"/>
      <c r="B214" s="41"/>
      <c r="C214" s="41"/>
      <c r="D214" s="41"/>
      <c r="E214" s="41"/>
      <c r="F214" s="41"/>
      <c r="G214" s="41"/>
      <c r="H214" s="43"/>
      <c r="I214" s="41"/>
      <c r="J214" s="41"/>
      <c r="K214" s="41"/>
      <c r="L214" s="41"/>
      <c r="M214" s="41"/>
      <c r="N214" s="41"/>
      <c r="O214" s="41"/>
      <c r="P214" s="43"/>
      <c r="Q214" s="41"/>
      <c r="R214" s="41"/>
      <c r="S214" s="41"/>
      <c r="T214" s="41"/>
      <c r="U214" s="41"/>
      <c r="V214" s="41"/>
      <c r="W214" s="41"/>
    </row>
    <row r="215">
      <c r="A215" s="41"/>
      <c r="B215" s="41"/>
      <c r="C215" s="41"/>
      <c r="D215" s="41"/>
      <c r="E215" s="41"/>
      <c r="F215" s="41"/>
      <c r="G215" s="41"/>
      <c r="H215" s="43"/>
      <c r="I215" s="41"/>
      <c r="J215" s="41"/>
      <c r="K215" s="41"/>
      <c r="L215" s="41"/>
      <c r="M215" s="41"/>
      <c r="N215" s="41"/>
      <c r="O215" s="41"/>
      <c r="P215" s="43"/>
      <c r="Q215" s="41"/>
      <c r="R215" s="41"/>
      <c r="S215" s="41"/>
      <c r="T215" s="41"/>
      <c r="U215" s="41"/>
      <c r="V215" s="41"/>
      <c r="W215" s="41"/>
    </row>
    <row r="216">
      <c r="A216" s="41"/>
      <c r="B216" s="41"/>
      <c r="C216" s="41"/>
      <c r="D216" s="41"/>
      <c r="E216" s="41"/>
      <c r="F216" s="41"/>
      <c r="G216" s="41"/>
      <c r="H216" s="43"/>
      <c r="I216" s="41"/>
      <c r="J216" s="41"/>
      <c r="K216" s="41"/>
      <c r="L216" s="41"/>
      <c r="M216" s="41"/>
      <c r="N216" s="41"/>
      <c r="O216" s="41"/>
      <c r="P216" s="43"/>
      <c r="Q216" s="41"/>
      <c r="R216" s="41"/>
      <c r="S216" s="41"/>
      <c r="T216" s="41"/>
      <c r="U216" s="41"/>
      <c r="V216" s="41"/>
      <c r="W216" s="41"/>
    </row>
    <row r="217">
      <c r="A217" s="41"/>
      <c r="B217" s="41"/>
      <c r="C217" s="41"/>
      <c r="D217" s="41"/>
      <c r="E217" s="41"/>
      <c r="F217" s="41"/>
      <c r="G217" s="41"/>
      <c r="H217" s="43"/>
      <c r="I217" s="41"/>
      <c r="J217" s="41"/>
      <c r="K217" s="41"/>
      <c r="L217" s="41"/>
      <c r="M217" s="41"/>
      <c r="N217" s="41"/>
      <c r="O217" s="41"/>
      <c r="P217" s="43"/>
      <c r="Q217" s="41"/>
      <c r="R217" s="41"/>
      <c r="S217" s="41"/>
      <c r="T217" s="41"/>
      <c r="U217" s="41"/>
      <c r="V217" s="41"/>
      <c r="W217" s="41"/>
    </row>
    <row r="218">
      <c r="A218" s="41"/>
      <c r="B218" s="41"/>
      <c r="C218" s="41"/>
      <c r="D218" s="41"/>
      <c r="E218" s="41"/>
      <c r="F218" s="41"/>
      <c r="G218" s="41"/>
      <c r="H218" s="43"/>
      <c r="I218" s="41"/>
      <c r="J218" s="41"/>
      <c r="K218" s="41"/>
      <c r="L218" s="41"/>
      <c r="M218" s="41"/>
      <c r="N218" s="41"/>
      <c r="O218" s="41"/>
      <c r="P218" s="43"/>
      <c r="Q218" s="41"/>
      <c r="R218" s="41"/>
      <c r="S218" s="41"/>
      <c r="T218" s="41"/>
      <c r="U218" s="41"/>
      <c r="V218" s="41"/>
      <c r="W218" s="41"/>
    </row>
    <row r="219">
      <c r="A219" s="41"/>
      <c r="B219" s="41"/>
      <c r="C219" s="41"/>
      <c r="D219" s="41"/>
      <c r="E219" s="41"/>
      <c r="F219" s="41"/>
      <c r="G219" s="41"/>
      <c r="H219" s="43"/>
      <c r="I219" s="41"/>
      <c r="J219" s="41"/>
      <c r="K219" s="41"/>
      <c r="L219" s="41"/>
      <c r="M219" s="41"/>
      <c r="N219" s="41"/>
      <c r="O219" s="41"/>
      <c r="P219" s="43"/>
      <c r="Q219" s="41"/>
      <c r="R219" s="41"/>
      <c r="S219" s="41"/>
      <c r="T219" s="41"/>
      <c r="U219" s="41"/>
      <c r="V219" s="41"/>
      <c r="W219" s="41"/>
    </row>
    <row r="220">
      <c r="A220" s="41"/>
      <c r="B220" s="41"/>
      <c r="C220" s="41"/>
      <c r="D220" s="41"/>
      <c r="E220" s="41"/>
      <c r="F220" s="41"/>
      <c r="G220" s="41"/>
      <c r="H220" s="43"/>
      <c r="I220" s="41"/>
      <c r="J220" s="41"/>
      <c r="K220" s="41"/>
      <c r="L220" s="41"/>
      <c r="M220" s="41"/>
      <c r="N220" s="41"/>
      <c r="O220" s="41"/>
      <c r="P220" s="43"/>
      <c r="Q220" s="41"/>
      <c r="R220" s="41"/>
      <c r="S220" s="41"/>
      <c r="T220" s="41"/>
      <c r="U220" s="41"/>
      <c r="V220" s="41"/>
      <c r="W220" s="41"/>
    </row>
    <row r="221">
      <c r="A221" s="41"/>
      <c r="B221" s="41"/>
      <c r="C221" s="41"/>
      <c r="D221" s="41"/>
      <c r="E221" s="41"/>
      <c r="F221" s="41"/>
      <c r="G221" s="41"/>
      <c r="H221" s="43"/>
      <c r="I221" s="41"/>
      <c r="J221" s="41"/>
      <c r="K221" s="41"/>
      <c r="L221" s="41"/>
      <c r="M221" s="41"/>
      <c r="N221" s="41"/>
      <c r="O221" s="41"/>
      <c r="P221" s="43"/>
      <c r="Q221" s="41"/>
      <c r="R221" s="41"/>
      <c r="S221" s="41"/>
      <c r="T221" s="41"/>
      <c r="U221" s="41"/>
      <c r="V221" s="41"/>
      <c r="W221" s="41"/>
    </row>
    <row r="222">
      <c r="A222" s="41"/>
      <c r="B222" s="41"/>
      <c r="C222" s="41"/>
      <c r="D222" s="41"/>
      <c r="E222" s="41"/>
      <c r="F222" s="41"/>
      <c r="G222" s="41"/>
      <c r="H222" s="43"/>
      <c r="I222" s="41"/>
      <c r="J222" s="41"/>
      <c r="K222" s="41"/>
      <c r="L222" s="41"/>
      <c r="M222" s="41"/>
      <c r="N222" s="41"/>
      <c r="O222" s="41"/>
      <c r="P222" s="43"/>
      <c r="Q222" s="41"/>
      <c r="R222" s="41"/>
      <c r="S222" s="41"/>
      <c r="T222" s="41"/>
      <c r="U222" s="41"/>
      <c r="V222" s="41"/>
      <c r="W222" s="41"/>
    </row>
    <row r="223">
      <c r="A223" s="41"/>
      <c r="B223" s="41"/>
      <c r="C223" s="41"/>
      <c r="D223" s="41"/>
      <c r="E223" s="41"/>
      <c r="F223" s="41"/>
      <c r="G223" s="41"/>
      <c r="H223" s="43"/>
      <c r="I223" s="41"/>
      <c r="J223" s="41"/>
      <c r="K223" s="41"/>
      <c r="L223" s="41"/>
      <c r="M223" s="41"/>
      <c r="N223" s="41"/>
      <c r="O223" s="41"/>
      <c r="P223" s="43"/>
      <c r="Q223" s="41"/>
      <c r="R223" s="41"/>
      <c r="S223" s="41"/>
      <c r="T223" s="41"/>
      <c r="U223" s="41"/>
      <c r="V223" s="41"/>
      <c r="W223" s="41"/>
    </row>
    <row r="224">
      <c r="A224" s="41"/>
      <c r="B224" s="41"/>
      <c r="C224" s="41"/>
      <c r="D224" s="41"/>
      <c r="E224" s="41"/>
      <c r="F224" s="41"/>
      <c r="G224" s="41"/>
      <c r="H224" s="43"/>
      <c r="I224" s="41"/>
      <c r="J224" s="41"/>
      <c r="K224" s="41"/>
      <c r="L224" s="41"/>
      <c r="M224" s="41"/>
      <c r="N224" s="41"/>
      <c r="O224" s="41"/>
      <c r="P224" s="43"/>
      <c r="Q224" s="41"/>
      <c r="R224" s="41"/>
      <c r="S224" s="41"/>
      <c r="T224" s="41"/>
      <c r="U224" s="41"/>
      <c r="V224" s="41"/>
      <c r="W224" s="41"/>
    </row>
    <row r="225">
      <c r="A225" s="41"/>
      <c r="B225" s="41"/>
      <c r="C225" s="41"/>
      <c r="D225" s="41"/>
      <c r="E225" s="41"/>
      <c r="F225" s="41"/>
      <c r="G225" s="41"/>
      <c r="H225" s="43"/>
      <c r="I225" s="41"/>
      <c r="J225" s="41"/>
      <c r="K225" s="41"/>
      <c r="L225" s="41"/>
      <c r="M225" s="41"/>
      <c r="N225" s="41"/>
      <c r="O225" s="41"/>
      <c r="P225" s="43"/>
      <c r="Q225" s="41"/>
      <c r="R225" s="41"/>
      <c r="S225" s="41"/>
      <c r="T225" s="41"/>
      <c r="U225" s="41"/>
      <c r="V225" s="41"/>
      <c r="W225" s="41"/>
    </row>
    <row r="226">
      <c r="A226" s="41"/>
      <c r="B226" s="41"/>
      <c r="C226" s="41"/>
      <c r="D226" s="41"/>
      <c r="E226" s="41"/>
      <c r="F226" s="41"/>
      <c r="G226" s="41"/>
      <c r="H226" s="43"/>
      <c r="I226" s="41"/>
      <c r="J226" s="41"/>
      <c r="K226" s="41"/>
      <c r="L226" s="41"/>
      <c r="M226" s="41"/>
      <c r="N226" s="41"/>
      <c r="O226" s="41"/>
      <c r="P226" s="43"/>
      <c r="Q226" s="41"/>
      <c r="R226" s="41"/>
      <c r="S226" s="41"/>
      <c r="T226" s="41"/>
      <c r="U226" s="41"/>
      <c r="V226" s="41"/>
      <c r="W226" s="41"/>
    </row>
    <row r="227">
      <c r="A227" s="41"/>
      <c r="B227" s="41"/>
      <c r="C227" s="41"/>
      <c r="D227" s="41"/>
      <c r="E227" s="41"/>
      <c r="F227" s="41"/>
      <c r="G227" s="41"/>
      <c r="H227" s="43"/>
      <c r="I227" s="41"/>
      <c r="J227" s="41"/>
      <c r="K227" s="41"/>
      <c r="L227" s="41"/>
      <c r="M227" s="41"/>
      <c r="N227" s="41"/>
      <c r="O227" s="41"/>
      <c r="P227" s="43"/>
      <c r="Q227" s="41"/>
      <c r="R227" s="41"/>
      <c r="S227" s="41"/>
      <c r="T227" s="41"/>
      <c r="U227" s="41"/>
      <c r="V227" s="41"/>
      <c r="W227" s="41"/>
    </row>
    <row r="228">
      <c r="A228" s="41"/>
      <c r="B228" s="41"/>
      <c r="C228" s="41"/>
      <c r="D228" s="41"/>
      <c r="E228" s="41"/>
      <c r="F228" s="41"/>
      <c r="G228" s="41"/>
      <c r="H228" s="43"/>
      <c r="I228" s="41"/>
      <c r="J228" s="41"/>
      <c r="K228" s="41"/>
      <c r="L228" s="41"/>
      <c r="M228" s="41"/>
      <c r="N228" s="41"/>
      <c r="O228" s="41"/>
      <c r="P228" s="43"/>
      <c r="Q228" s="41"/>
      <c r="R228" s="41"/>
      <c r="S228" s="41"/>
      <c r="T228" s="41"/>
      <c r="U228" s="41"/>
      <c r="V228" s="41"/>
      <c r="W228" s="41"/>
    </row>
    <row r="229">
      <c r="A229" s="41"/>
      <c r="B229" s="41"/>
      <c r="C229" s="41"/>
      <c r="D229" s="41"/>
      <c r="E229" s="41"/>
      <c r="F229" s="41"/>
      <c r="G229" s="41"/>
      <c r="H229" s="43"/>
      <c r="I229" s="41"/>
      <c r="J229" s="41"/>
      <c r="K229" s="41"/>
      <c r="L229" s="41"/>
      <c r="M229" s="41"/>
      <c r="N229" s="41"/>
      <c r="O229" s="41"/>
      <c r="P229" s="43"/>
      <c r="Q229" s="41"/>
      <c r="R229" s="41"/>
      <c r="S229" s="41"/>
      <c r="T229" s="41"/>
      <c r="U229" s="41"/>
      <c r="V229" s="41"/>
      <c r="W229" s="41"/>
    </row>
    <row r="230">
      <c r="A230" s="41"/>
      <c r="B230" s="41"/>
      <c r="C230" s="41"/>
      <c r="D230" s="41"/>
      <c r="E230" s="41"/>
      <c r="F230" s="41"/>
      <c r="G230" s="41"/>
      <c r="H230" s="43"/>
      <c r="I230" s="41"/>
      <c r="J230" s="41"/>
      <c r="K230" s="41"/>
      <c r="L230" s="41"/>
      <c r="M230" s="41"/>
      <c r="N230" s="41"/>
      <c r="O230" s="41"/>
      <c r="P230" s="43"/>
      <c r="Q230" s="41"/>
      <c r="R230" s="41"/>
      <c r="S230" s="41"/>
      <c r="T230" s="41"/>
      <c r="U230" s="41"/>
      <c r="V230" s="41"/>
      <c r="W230" s="41"/>
    </row>
    <row r="231">
      <c r="A231" s="41"/>
      <c r="B231" s="41"/>
      <c r="C231" s="41"/>
      <c r="D231" s="41"/>
      <c r="E231" s="41"/>
      <c r="F231" s="41"/>
      <c r="G231" s="41"/>
      <c r="H231" s="43"/>
      <c r="I231" s="41"/>
      <c r="J231" s="41"/>
      <c r="K231" s="41"/>
      <c r="L231" s="41"/>
      <c r="M231" s="41"/>
      <c r="N231" s="41"/>
      <c r="O231" s="41"/>
      <c r="P231" s="43"/>
      <c r="Q231" s="41"/>
      <c r="R231" s="41"/>
      <c r="S231" s="41"/>
      <c r="T231" s="41"/>
      <c r="U231" s="41"/>
      <c r="V231" s="41"/>
      <c r="W231" s="41"/>
    </row>
    <row r="232">
      <c r="A232" s="41"/>
      <c r="B232" s="41"/>
      <c r="C232" s="41"/>
      <c r="D232" s="41"/>
      <c r="E232" s="41"/>
      <c r="F232" s="41"/>
      <c r="G232" s="41"/>
      <c r="H232" s="43"/>
      <c r="I232" s="41"/>
      <c r="J232" s="41"/>
      <c r="K232" s="41"/>
      <c r="L232" s="41"/>
      <c r="M232" s="41"/>
      <c r="N232" s="41"/>
      <c r="O232" s="41"/>
      <c r="P232" s="43"/>
      <c r="Q232" s="41"/>
      <c r="R232" s="41"/>
      <c r="S232" s="41"/>
      <c r="T232" s="41"/>
      <c r="U232" s="41"/>
      <c r="V232" s="41"/>
      <c r="W232" s="41"/>
    </row>
    <row r="233">
      <c r="A233" s="41"/>
      <c r="B233" s="41"/>
      <c r="C233" s="41"/>
      <c r="D233" s="41"/>
      <c r="E233" s="41"/>
      <c r="F233" s="41"/>
      <c r="G233" s="41"/>
      <c r="H233" s="43"/>
      <c r="I233" s="41"/>
      <c r="J233" s="41"/>
      <c r="K233" s="41"/>
      <c r="L233" s="41"/>
      <c r="M233" s="41"/>
      <c r="N233" s="41"/>
      <c r="O233" s="41"/>
      <c r="P233" s="43"/>
      <c r="Q233" s="41"/>
      <c r="R233" s="41"/>
      <c r="S233" s="41"/>
      <c r="T233" s="41"/>
      <c r="U233" s="41"/>
      <c r="V233" s="41"/>
      <c r="W233" s="41"/>
    </row>
    <row r="234">
      <c r="A234" s="41"/>
      <c r="B234" s="41"/>
      <c r="C234" s="41"/>
      <c r="D234" s="41"/>
      <c r="E234" s="41"/>
      <c r="F234" s="41"/>
      <c r="G234" s="41"/>
      <c r="H234" s="43"/>
      <c r="I234" s="41"/>
      <c r="J234" s="41"/>
      <c r="K234" s="41"/>
      <c r="L234" s="41"/>
      <c r="M234" s="41"/>
      <c r="N234" s="41"/>
      <c r="O234" s="41"/>
      <c r="P234" s="43"/>
      <c r="Q234" s="41"/>
      <c r="R234" s="41"/>
      <c r="S234" s="41"/>
      <c r="T234" s="41"/>
      <c r="U234" s="41"/>
      <c r="V234" s="41"/>
      <c r="W234" s="41"/>
    </row>
    <row r="235">
      <c r="A235" s="41"/>
      <c r="B235" s="41"/>
      <c r="C235" s="41"/>
      <c r="D235" s="41"/>
      <c r="E235" s="41"/>
      <c r="F235" s="41"/>
      <c r="G235" s="41"/>
      <c r="H235" s="43"/>
      <c r="I235" s="41"/>
      <c r="J235" s="41"/>
      <c r="K235" s="41"/>
      <c r="L235" s="41"/>
      <c r="M235" s="41"/>
      <c r="N235" s="41"/>
      <c r="O235" s="41"/>
      <c r="P235" s="43"/>
      <c r="Q235" s="41"/>
      <c r="R235" s="41"/>
      <c r="S235" s="41"/>
      <c r="T235" s="41"/>
      <c r="U235" s="41"/>
      <c r="V235" s="41"/>
      <c r="W235" s="41"/>
    </row>
    <row r="236">
      <c r="A236" s="41"/>
      <c r="B236" s="41"/>
      <c r="C236" s="41"/>
      <c r="D236" s="41"/>
      <c r="E236" s="41"/>
      <c r="F236" s="41"/>
      <c r="G236" s="41"/>
      <c r="H236" s="43"/>
      <c r="I236" s="41"/>
      <c r="J236" s="41"/>
      <c r="K236" s="41"/>
      <c r="L236" s="41"/>
      <c r="M236" s="41"/>
      <c r="N236" s="41"/>
      <c r="O236" s="41"/>
      <c r="P236" s="43"/>
      <c r="Q236" s="41"/>
      <c r="R236" s="41"/>
      <c r="S236" s="41"/>
      <c r="T236" s="41"/>
      <c r="U236" s="41"/>
      <c r="V236" s="41"/>
      <c r="W236" s="41"/>
    </row>
    <row r="237">
      <c r="A237" s="41"/>
      <c r="B237" s="41"/>
      <c r="C237" s="41"/>
      <c r="D237" s="41"/>
      <c r="E237" s="41"/>
      <c r="F237" s="41"/>
      <c r="G237" s="41"/>
      <c r="H237" s="43"/>
      <c r="I237" s="41"/>
      <c r="J237" s="41"/>
      <c r="K237" s="41"/>
      <c r="L237" s="41"/>
      <c r="M237" s="41"/>
      <c r="N237" s="41"/>
      <c r="O237" s="41"/>
      <c r="P237" s="43"/>
      <c r="Q237" s="41"/>
      <c r="R237" s="41"/>
      <c r="S237" s="41"/>
      <c r="T237" s="41"/>
      <c r="U237" s="41"/>
      <c r="V237" s="41"/>
      <c r="W237" s="41"/>
    </row>
    <row r="238">
      <c r="A238" s="41"/>
      <c r="B238" s="41"/>
      <c r="C238" s="41"/>
      <c r="D238" s="41"/>
      <c r="E238" s="41"/>
      <c r="F238" s="41"/>
      <c r="G238" s="41"/>
      <c r="H238" s="43"/>
      <c r="I238" s="41"/>
      <c r="J238" s="41"/>
      <c r="K238" s="41"/>
      <c r="L238" s="41"/>
      <c r="M238" s="41"/>
      <c r="N238" s="41"/>
      <c r="O238" s="41"/>
      <c r="P238" s="43"/>
      <c r="Q238" s="41"/>
      <c r="R238" s="41"/>
      <c r="S238" s="41"/>
      <c r="T238" s="41"/>
      <c r="U238" s="41"/>
      <c r="V238" s="41"/>
      <c r="W238" s="41"/>
    </row>
    <row r="239">
      <c r="A239" s="41"/>
      <c r="B239" s="41"/>
      <c r="C239" s="41"/>
      <c r="D239" s="41"/>
      <c r="E239" s="41"/>
      <c r="F239" s="41"/>
      <c r="G239" s="41"/>
      <c r="H239" s="43"/>
      <c r="I239" s="41"/>
      <c r="J239" s="41"/>
      <c r="K239" s="41"/>
      <c r="L239" s="41"/>
      <c r="M239" s="41"/>
      <c r="N239" s="41"/>
      <c r="O239" s="41"/>
      <c r="P239" s="43"/>
      <c r="Q239" s="41"/>
      <c r="R239" s="41"/>
      <c r="S239" s="41"/>
      <c r="T239" s="41"/>
      <c r="U239" s="41"/>
      <c r="V239" s="41"/>
      <c r="W239" s="41"/>
    </row>
    <row r="240">
      <c r="A240" s="41"/>
      <c r="B240" s="41"/>
      <c r="C240" s="41"/>
      <c r="D240" s="41"/>
      <c r="E240" s="41"/>
      <c r="F240" s="41"/>
      <c r="G240" s="41"/>
      <c r="H240" s="43"/>
      <c r="I240" s="41"/>
      <c r="J240" s="41"/>
      <c r="K240" s="41"/>
      <c r="L240" s="41"/>
      <c r="M240" s="41"/>
      <c r="N240" s="41"/>
      <c r="O240" s="41"/>
      <c r="P240" s="43"/>
      <c r="Q240" s="41"/>
      <c r="R240" s="41"/>
      <c r="S240" s="41"/>
      <c r="T240" s="41"/>
      <c r="U240" s="41"/>
      <c r="V240" s="41"/>
      <c r="W240" s="41"/>
    </row>
    <row r="241">
      <c r="A241" s="41"/>
      <c r="B241" s="41"/>
      <c r="C241" s="41"/>
      <c r="D241" s="41"/>
      <c r="E241" s="41"/>
      <c r="F241" s="41"/>
      <c r="G241" s="41"/>
      <c r="H241" s="43"/>
      <c r="I241" s="41"/>
      <c r="J241" s="41"/>
      <c r="K241" s="41"/>
      <c r="L241" s="41"/>
      <c r="M241" s="41"/>
      <c r="N241" s="41"/>
      <c r="O241" s="41"/>
      <c r="P241" s="43"/>
      <c r="Q241" s="41"/>
      <c r="R241" s="41"/>
      <c r="S241" s="41"/>
      <c r="T241" s="41"/>
      <c r="U241" s="41"/>
      <c r="V241" s="41"/>
      <c r="W241" s="41"/>
    </row>
    <row r="242">
      <c r="A242" s="41"/>
      <c r="B242" s="41"/>
      <c r="C242" s="41"/>
      <c r="D242" s="41"/>
      <c r="E242" s="41"/>
      <c r="F242" s="41"/>
      <c r="G242" s="41"/>
      <c r="H242" s="43"/>
      <c r="I242" s="41"/>
      <c r="J242" s="41"/>
      <c r="K242" s="41"/>
      <c r="L242" s="41"/>
      <c r="M242" s="41"/>
      <c r="N242" s="41"/>
      <c r="O242" s="41"/>
      <c r="P242" s="43"/>
      <c r="Q242" s="41"/>
      <c r="R242" s="41"/>
      <c r="S242" s="41"/>
      <c r="T242" s="41"/>
      <c r="U242" s="41"/>
      <c r="V242" s="41"/>
      <c r="W242" s="41"/>
    </row>
    <row r="243">
      <c r="A243" s="41"/>
      <c r="B243" s="41"/>
      <c r="C243" s="41"/>
      <c r="D243" s="41"/>
      <c r="E243" s="41"/>
      <c r="F243" s="41"/>
      <c r="G243" s="41"/>
      <c r="H243" s="43"/>
      <c r="I243" s="41"/>
      <c r="J243" s="41"/>
      <c r="K243" s="41"/>
      <c r="L243" s="41"/>
      <c r="M243" s="41"/>
      <c r="N243" s="41"/>
      <c r="O243" s="41"/>
      <c r="P243" s="43"/>
      <c r="Q243" s="41"/>
      <c r="R243" s="41"/>
      <c r="S243" s="41"/>
      <c r="T243" s="41"/>
      <c r="U243" s="41"/>
      <c r="V243" s="41"/>
      <c r="W243" s="41"/>
    </row>
    <row r="244">
      <c r="A244" s="41"/>
      <c r="B244" s="41"/>
      <c r="C244" s="41"/>
      <c r="D244" s="41"/>
      <c r="E244" s="41"/>
      <c r="F244" s="41"/>
      <c r="G244" s="41"/>
      <c r="H244" s="43"/>
      <c r="I244" s="41"/>
      <c r="J244" s="41"/>
      <c r="K244" s="41"/>
      <c r="L244" s="41"/>
      <c r="M244" s="41"/>
      <c r="N244" s="41"/>
      <c r="O244" s="41"/>
      <c r="P244" s="43"/>
      <c r="Q244" s="41"/>
      <c r="R244" s="41"/>
      <c r="S244" s="41"/>
      <c r="T244" s="41"/>
      <c r="U244" s="41"/>
      <c r="V244" s="41"/>
      <c r="W244" s="41"/>
    </row>
    <row r="245">
      <c r="A245" s="41"/>
      <c r="B245" s="41"/>
      <c r="C245" s="41"/>
      <c r="D245" s="41"/>
      <c r="E245" s="41"/>
      <c r="F245" s="41"/>
      <c r="G245" s="41"/>
      <c r="H245" s="43"/>
      <c r="I245" s="41"/>
      <c r="J245" s="41"/>
      <c r="K245" s="41"/>
      <c r="L245" s="41"/>
      <c r="M245" s="41"/>
      <c r="N245" s="41"/>
      <c r="O245" s="41"/>
      <c r="P245" s="43"/>
      <c r="Q245" s="41"/>
      <c r="R245" s="41"/>
      <c r="S245" s="41"/>
      <c r="T245" s="41"/>
      <c r="U245" s="41"/>
      <c r="V245" s="41"/>
      <c r="W245" s="41"/>
    </row>
    <row r="246">
      <c r="A246" s="41"/>
      <c r="B246" s="41"/>
      <c r="C246" s="41"/>
      <c r="D246" s="41"/>
      <c r="E246" s="41"/>
      <c r="F246" s="41"/>
      <c r="G246" s="41"/>
      <c r="H246" s="43"/>
      <c r="I246" s="41"/>
      <c r="J246" s="41"/>
      <c r="K246" s="41"/>
      <c r="L246" s="41"/>
      <c r="M246" s="41"/>
      <c r="N246" s="41"/>
      <c r="O246" s="41"/>
      <c r="P246" s="43"/>
      <c r="Q246" s="41"/>
      <c r="R246" s="41"/>
      <c r="S246" s="41"/>
      <c r="T246" s="41"/>
      <c r="U246" s="41"/>
      <c r="V246" s="41"/>
      <c r="W246" s="41"/>
    </row>
    <row r="247">
      <c r="A247" s="41"/>
      <c r="B247" s="41"/>
      <c r="C247" s="41"/>
      <c r="D247" s="41"/>
      <c r="E247" s="41"/>
      <c r="F247" s="41"/>
      <c r="G247" s="41"/>
      <c r="H247" s="43"/>
      <c r="I247" s="41"/>
      <c r="J247" s="41"/>
      <c r="K247" s="41"/>
      <c r="L247" s="41"/>
      <c r="M247" s="41"/>
      <c r="N247" s="41"/>
      <c r="O247" s="41"/>
      <c r="P247" s="43"/>
      <c r="Q247" s="41"/>
      <c r="R247" s="41"/>
      <c r="S247" s="41"/>
      <c r="T247" s="41"/>
      <c r="U247" s="41"/>
      <c r="V247" s="41"/>
      <c r="W247" s="41"/>
    </row>
    <row r="248">
      <c r="A248" s="41"/>
      <c r="B248" s="41"/>
      <c r="C248" s="41"/>
      <c r="D248" s="41"/>
      <c r="E248" s="41"/>
      <c r="F248" s="41"/>
      <c r="G248" s="41"/>
      <c r="H248" s="43"/>
      <c r="I248" s="41"/>
      <c r="J248" s="41"/>
      <c r="K248" s="41"/>
      <c r="L248" s="41"/>
      <c r="M248" s="41"/>
      <c r="N248" s="41"/>
      <c r="O248" s="41"/>
      <c r="P248" s="43"/>
      <c r="Q248" s="41"/>
      <c r="R248" s="41"/>
      <c r="S248" s="41"/>
      <c r="T248" s="41"/>
      <c r="U248" s="41"/>
      <c r="V248" s="41"/>
      <c r="W248" s="41"/>
    </row>
    <row r="249">
      <c r="A249" s="41"/>
      <c r="B249" s="41"/>
      <c r="C249" s="41"/>
      <c r="D249" s="41"/>
      <c r="E249" s="41"/>
      <c r="F249" s="41"/>
      <c r="G249" s="41"/>
      <c r="H249" s="43"/>
      <c r="I249" s="41"/>
      <c r="J249" s="41"/>
      <c r="K249" s="41"/>
      <c r="L249" s="41"/>
      <c r="M249" s="41"/>
      <c r="N249" s="41"/>
      <c r="O249" s="41"/>
      <c r="P249" s="43"/>
      <c r="Q249" s="41"/>
      <c r="R249" s="41"/>
      <c r="S249" s="41"/>
      <c r="T249" s="41"/>
      <c r="U249" s="41"/>
      <c r="V249" s="41"/>
      <c r="W249" s="41"/>
    </row>
    <row r="250">
      <c r="H250" s="12"/>
      <c r="P250" s="12"/>
    </row>
    <row r="251">
      <c r="H251" s="12"/>
      <c r="P251" s="12"/>
    </row>
    <row r="252">
      <c r="H252" s="12"/>
      <c r="P252" s="12"/>
    </row>
    <row r="253">
      <c r="H253" s="12"/>
      <c r="P253" s="12"/>
    </row>
    <row r="254">
      <c r="H254" s="12"/>
      <c r="P254" s="12"/>
    </row>
    <row r="255">
      <c r="H255" s="12"/>
      <c r="P255" s="12"/>
    </row>
    <row r="256">
      <c r="H256" s="12"/>
      <c r="P256" s="12"/>
    </row>
    <row r="257">
      <c r="H257" s="12"/>
      <c r="P257" s="12"/>
    </row>
    <row r="258">
      <c r="H258" s="12"/>
      <c r="P258" s="12"/>
    </row>
    <row r="259">
      <c r="H259" s="12"/>
      <c r="P259" s="12"/>
    </row>
    <row r="260">
      <c r="H260" s="12"/>
      <c r="P260" s="12"/>
    </row>
    <row r="261">
      <c r="H261" s="12"/>
      <c r="P261" s="12"/>
    </row>
    <row r="262">
      <c r="H262" s="12"/>
      <c r="P262" s="12"/>
    </row>
    <row r="263">
      <c r="H263" s="12"/>
      <c r="P263" s="12"/>
    </row>
    <row r="264">
      <c r="H264" s="12"/>
      <c r="P264" s="12"/>
    </row>
    <row r="265">
      <c r="H265" s="12"/>
      <c r="P265" s="12"/>
    </row>
    <row r="266">
      <c r="H266" s="12"/>
      <c r="P266" s="12"/>
    </row>
    <row r="267">
      <c r="H267" s="12"/>
      <c r="P267" s="12"/>
    </row>
    <row r="268">
      <c r="H268" s="12"/>
      <c r="P268" s="12"/>
    </row>
    <row r="269">
      <c r="H269" s="12"/>
      <c r="P269" s="12"/>
    </row>
    <row r="270">
      <c r="H270" s="12"/>
      <c r="P270" s="12"/>
    </row>
    <row r="271">
      <c r="H271" s="12"/>
      <c r="P271" s="12"/>
    </row>
    <row r="272">
      <c r="H272" s="12"/>
      <c r="P272" s="12"/>
    </row>
    <row r="273">
      <c r="H273" s="12"/>
      <c r="P273" s="12"/>
    </row>
    <row r="274">
      <c r="H274" s="12"/>
      <c r="P274" s="12"/>
    </row>
    <row r="275">
      <c r="H275" s="12"/>
      <c r="P275" s="12"/>
    </row>
    <row r="276">
      <c r="H276" s="12"/>
      <c r="P276" s="12"/>
    </row>
    <row r="277">
      <c r="H277" s="12"/>
      <c r="P277" s="12"/>
    </row>
    <row r="278">
      <c r="H278" s="12"/>
      <c r="P278" s="12"/>
    </row>
    <row r="279">
      <c r="H279" s="12"/>
      <c r="P279" s="12"/>
    </row>
    <row r="280">
      <c r="H280" s="12"/>
      <c r="P280" s="12"/>
    </row>
    <row r="281">
      <c r="H281" s="12"/>
      <c r="P281" s="12"/>
    </row>
    <row r="282">
      <c r="H282" s="12"/>
      <c r="P282" s="12"/>
    </row>
    <row r="283">
      <c r="H283" s="12"/>
      <c r="P283" s="12"/>
    </row>
    <row r="284">
      <c r="H284" s="12"/>
      <c r="P284" s="12"/>
    </row>
    <row r="285">
      <c r="H285" s="12"/>
      <c r="P285" s="12"/>
    </row>
    <row r="286">
      <c r="H286" s="12"/>
      <c r="P286" s="12"/>
    </row>
    <row r="287">
      <c r="H287" s="12"/>
      <c r="P287" s="12"/>
    </row>
    <row r="288">
      <c r="H288" s="12"/>
      <c r="P288" s="12"/>
    </row>
    <row r="289">
      <c r="H289" s="12"/>
      <c r="P289" s="12"/>
    </row>
    <row r="290">
      <c r="H290" s="12"/>
      <c r="P290" s="12"/>
    </row>
    <row r="291">
      <c r="H291" s="12"/>
      <c r="P291" s="12"/>
    </row>
    <row r="292">
      <c r="H292" s="12"/>
      <c r="P292" s="12"/>
    </row>
    <row r="293">
      <c r="H293" s="12"/>
      <c r="P293" s="12"/>
    </row>
    <row r="294">
      <c r="H294" s="12"/>
      <c r="P294" s="12"/>
    </row>
    <row r="295">
      <c r="H295" s="12"/>
      <c r="P295" s="12"/>
    </row>
    <row r="296">
      <c r="H296" s="12"/>
      <c r="P296" s="12"/>
    </row>
    <row r="297">
      <c r="H297" s="12"/>
      <c r="P297" s="12"/>
    </row>
    <row r="298">
      <c r="H298" s="12"/>
      <c r="P298" s="12"/>
    </row>
    <row r="299">
      <c r="H299" s="12"/>
      <c r="P299" s="12"/>
    </row>
    <row r="300">
      <c r="H300" s="12"/>
      <c r="P300" s="12"/>
    </row>
    <row r="301">
      <c r="H301" s="12"/>
      <c r="P301" s="12"/>
    </row>
    <row r="302">
      <c r="H302" s="12"/>
      <c r="P302" s="12"/>
    </row>
    <row r="303">
      <c r="H303" s="12"/>
      <c r="P303" s="12"/>
    </row>
    <row r="304">
      <c r="H304" s="12"/>
      <c r="P304" s="12"/>
    </row>
    <row r="305">
      <c r="H305" s="12"/>
      <c r="P305" s="12"/>
    </row>
    <row r="306">
      <c r="H306" s="12"/>
      <c r="P306" s="12"/>
    </row>
    <row r="307">
      <c r="H307" s="12"/>
      <c r="P307" s="12"/>
    </row>
    <row r="308">
      <c r="H308" s="12"/>
      <c r="P308" s="12"/>
    </row>
    <row r="309">
      <c r="H309" s="12"/>
      <c r="P309" s="12"/>
    </row>
    <row r="310">
      <c r="H310" s="12"/>
      <c r="P310" s="12"/>
    </row>
    <row r="311">
      <c r="H311" s="12"/>
      <c r="P311" s="12"/>
    </row>
    <row r="312">
      <c r="H312" s="12"/>
      <c r="P312" s="12"/>
    </row>
    <row r="313">
      <c r="H313" s="12"/>
      <c r="P313" s="12"/>
    </row>
    <row r="314">
      <c r="H314" s="12"/>
      <c r="P314" s="12"/>
    </row>
    <row r="315">
      <c r="H315" s="12"/>
      <c r="P315" s="12"/>
    </row>
    <row r="316">
      <c r="H316" s="12"/>
      <c r="P316" s="12"/>
    </row>
    <row r="317">
      <c r="H317" s="12"/>
      <c r="P317" s="12"/>
    </row>
    <row r="318">
      <c r="H318" s="12"/>
      <c r="P318" s="12"/>
    </row>
    <row r="319">
      <c r="H319" s="12"/>
      <c r="P319" s="12"/>
    </row>
    <row r="320">
      <c r="H320" s="12"/>
      <c r="P320" s="12"/>
    </row>
    <row r="321">
      <c r="H321" s="12"/>
      <c r="P321" s="12"/>
    </row>
    <row r="322">
      <c r="H322" s="12"/>
      <c r="P322" s="12"/>
    </row>
    <row r="323">
      <c r="H323" s="12"/>
      <c r="P323" s="12"/>
    </row>
    <row r="324">
      <c r="H324" s="12"/>
      <c r="P324" s="12"/>
    </row>
    <row r="325">
      <c r="H325" s="12"/>
      <c r="P325" s="12"/>
    </row>
    <row r="326">
      <c r="H326" s="12"/>
      <c r="P326" s="12"/>
    </row>
    <row r="327">
      <c r="H327" s="12"/>
      <c r="P327" s="12"/>
    </row>
    <row r="328">
      <c r="H328" s="12"/>
      <c r="P328" s="12"/>
    </row>
    <row r="329">
      <c r="H329" s="12"/>
      <c r="P329" s="12"/>
    </row>
    <row r="330">
      <c r="H330" s="12"/>
      <c r="P330" s="12"/>
    </row>
    <row r="331">
      <c r="H331" s="12"/>
      <c r="P331" s="12"/>
    </row>
    <row r="332">
      <c r="H332" s="12"/>
      <c r="P332" s="12"/>
    </row>
    <row r="333">
      <c r="H333" s="12"/>
      <c r="P333" s="12"/>
    </row>
    <row r="334">
      <c r="H334" s="12"/>
      <c r="P334" s="12"/>
    </row>
    <row r="335">
      <c r="H335" s="12"/>
      <c r="P335" s="12"/>
    </row>
    <row r="336">
      <c r="H336" s="12"/>
      <c r="P336" s="12"/>
    </row>
    <row r="337">
      <c r="H337" s="12"/>
      <c r="P337" s="12"/>
    </row>
    <row r="338">
      <c r="H338" s="12"/>
      <c r="P338" s="12"/>
    </row>
    <row r="339">
      <c r="H339" s="12"/>
      <c r="P339" s="12"/>
    </row>
    <row r="340">
      <c r="H340" s="12"/>
      <c r="P340" s="12"/>
    </row>
    <row r="341">
      <c r="H341" s="12"/>
      <c r="P341" s="12"/>
    </row>
    <row r="342">
      <c r="H342" s="12"/>
      <c r="P342" s="12"/>
    </row>
    <row r="343">
      <c r="H343" s="12"/>
      <c r="P343" s="12"/>
    </row>
    <row r="344">
      <c r="H344" s="12"/>
      <c r="P344" s="12"/>
    </row>
    <row r="345">
      <c r="H345" s="12"/>
      <c r="P345" s="12"/>
    </row>
    <row r="346">
      <c r="H346" s="12"/>
      <c r="P346" s="12"/>
    </row>
    <row r="347">
      <c r="H347" s="12"/>
      <c r="P347" s="12"/>
    </row>
    <row r="348">
      <c r="H348" s="12"/>
      <c r="P348" s="12"/>
    </row>
    <row r="349">
      <c r="H349" s="12"/>
      <c r="P349" s="12"/>
    </row>
    <row r="350">
      <c r="H350" s="12"/>
      <c r="P350" s="12"/>
    </row>
    <row r="351">
      <c r="H351" s="12"/>
      <c r="P351" s="12"/>
    </row>
    <row r="352">
      <c r="H352" s="12"/>
      <c r="P352" s="12"/>
    </row>
    <row r="353">
      <c r="H353" s="12"/>
      <c r="P353" s="12"/>
    </row>
    <row r="354">
      <c r="H354" s="12"/>
      <c r="P354" s="12"/>
    </row>
    <row r="355">
      <c r="H355" s="12"/>
      <c r="P355" s="12"/>
    </row>
    <row r="356">
      <c r="H356" s="12"/>
      <c r="P356" s="12"/>
    </row>
    <row r="357">
      <c r="H357" s="12"/>
      <c r="P357" s="12"/>
    </row>
    <row r="358">
      <c r="H358" s="12"/>
      <c r="P358" s="12"/>
    </row>
    <row r="359">
      <c r="H359" s="12"/>
      <c r="P359" s="12"/>
    </row>
    <row r="360">
      <c r="H360" s="12"/>
      <c r="P360" s="12"/>
    </row>
    <row r="361">
      <c r="H361" s="12"/>
      <c r="P361" s="12"/>
    </row>
    <row r="362">
      <c r="H362" s="12"/>
      <c r="P362" s="12"/>
    </row>
    <row r="363">
      <c r="H363" s="12"/>
      <c r="P363" s="12"/>
    </row>
    <row r="364">
      <c r="H364" s="12"/>
      <c r="P364" s="12"/>
    </row>
    <row r="365">
      <c r="H365" s="12"/>
      <c r="P365" s="12"/>
    </row>
    <row r="366">
      <c r="H366" s="12"/>
      <c r="P366" s="12"/>
    </row>
    <row r="367">
      <c r="H367" s="12"/>
      <c r="P367" s="12"/>
    </row>
    <row r="368">
      <c r="H368" s="12"/>
      <c r="P368" s="12"/>
    </row>
    <row r="369">
      <c r="H369" s="12"/>
      <c r="P369" s="12"/>
    </row>
    <row r="370">
      <c r="H370" s="12"/>
      <c r="P370" s="12"/>
    </row>
    <row r="371">
      <c r="H371" s="12"/>
      <c r="P371" s="12"/>
    </row>
    <row r="372">
      <c r="H372" s="12"/>
      <c r="P372" s="12"/>
    </row>
    <row r="373">
      <c r="H373" s="12"/>
      <c r="P373" s="12"/>
    </row>
    <row r="374">
      <c r="H374" s="12"/>
      <c r="P374" s="12"/>
    </row>
    <row r="375">
      <c r="H375" s="12"/>
      <c r="P375" s="12"/>
    </row>
    <row r="376">
      <c r="H376" s="12"/>
      <c r="P376" s="12"/>
    </row>
    <row r="377">
      <c r="H377" s="12"/>
      <c r="P377" s="12"/>
    </row>
    <row r="378">
      <c r="H378" s="12"/>
      <c r="P378" s="12"/>
    </row>
    <row r="379">
      <c r="H379" s="12"/>
      <c r="P379" s="12"/>
    </row>
    <row r="380">
      <c r="H380" s="12"/>
      <c r="P380" s="12"/>
    </row>
    <row r="381">
      <c r="H381" s="12"/>
      <c r="P381" s="12"/>
    </row>
    <row r="382">
      <c r="H382" s="12"/>
      <c r="P382" s="12"/>
    </row>
    <row r="383">
      <c r="H383" s="12"/>
      <c r="P383" s="12"/>
    </row>
    <row r="384">
      <c r="H384" s="12"/>
      <c r="P384" s="12"/>
    </row>
    <row r="385">
      <c r="H385" s="12"/>
      <c r="P385" s="12"/>
    </row>
    <row r="386">
      <c r="H386" s="12"/>
      <c r="P386" s="12"/>
    </row>
    <row r="387">
      <c r="H387" s="12"/>
      <c r="P387" s="12"/>
    </row>
    <row r="388">
      <c r="H388" s="12"/>
      <c r="P388" s="12"/>
    </row>
    <row r="389">
      <c r="H389" s="12"/>
      <c r="P389" s="12"/>
    </row>
    <row r="390">
      <c r="H390" s="12"/>
      <c r="P390" s="12"/>
    </row>
    <row r="391">
      <c r="H391" s="12"/>
      <c r="P391" s="12"/>
    </row>
    <row r="392">
      <c r="H392" s="12"/>
      <c r="P392" s="12"/>
    </row>
    <row r="393">
      <c r="H393" s="12"/>
      <c r="P393" s="12"/>
    </row>
    <row r="394">
      <c r="H394" s="12"/>
      <c r="P394" s="12"/>
    </row>
    <row r="395">
      <c r="H395" s="12"/>
      <c r="P395" s="12"/>
    </row>
    <row r="396">
      <c r="H396" s="12"/>
      <c r="P396" s="12"/>
    </row>
    <row r="397">
      <c r="H397" s="12"/>
      <c r="P397" s="12"/>
    </row>
    <row r="398">
      <c r="H398" s="12"/>
      <c r="P398" s="12"/>
    </row>
    <row r="399">
      <c r="H399" s="12"/>
      <c r="P399" s="12"/>
    </row>
    <row r="400">
      <c r="H400" s="12"/>
      <c r="P400" s="12"/>
    </row>
    <row r="401">
      <c r="H401" s="12"/>
      <c r="P401" s="12"/>
    </row>
    <row r="402">
      <c r="H402" s="12"/>
      <c r="P402" s="12"/>
    </row>
    <row r="403">
      <c r="H403" s="12"/>
      <c r="P403" s="12"/>
    </row>
    <row r="404">
      <c r="H404" s="12"/>
      <c r="P404" s="12"/>
    </row>
    <row r="405">
      <c r="H405" s="12"/>
      <c r="P405" s="12"/>
    </row>
    <row r="406">
      <c r="H406" s="12"/>
      <c r="P406" s="12"/>
    </row>
    <row r="407">
      <c r="H407" s="12"/>
      <c r="P407" s="12"/>
    </row>
    <row r="408">
      <c r="H408" s="12"/>
      <c r="P408" s="12"/>
    </row>
    <row r="409">
      <c r="H409" s="12"/>
      <c r="P409" s="12"/>
    </row>
    <row r="410">
      <c r="H410" s="12"/>
      <c r="P410" s="12"/>
    </row>
    <row r="411">
      <c r="H411" s="12"/>
      <c r="P411" s="12"/>
    </row>
    <row r="412">
      <c r="H412" s="12"/>
      <c r="P412" s="12"/>
    </row>
    <row r="413">
      <c r="H413" s="12"/>
      <c r="P413" s="12"/>
    </row>
    <row r="414">
      <c r="H414" s="12"/>
      <c r="P414" s="12"/>
    </row>
    <row r="415">
      <c r="H415" s="12"/>
      <c r="P415" s="12"/>
    </row>
    <row r="416">
      <c r="H416" s="12"/>
      <c r="P416" s="12"/>
    </row>
    <row r="417">
      <c r="H417" s="12"/>
      <c r="P417" s="12"/>
    </row>
    <row r="418">
      <c r="H418" s="12"/>
      <c r="P418" s="12"/>
    </row>
    <row r="419">
      <c r="H419" s="12"/>
      <c r="P419" s="12"/>
    </row>
    <row r="420">
      <c r="H420" s="12"/>
      <c r="P420" s="12"/>
    </row>
    <row r="421">
      <c r="H421" s="12"/>
      <c r="P421" s="12"/>
    </row>
    <row r="422">
      <c r="H422" s="12"/>
      <c r="P422" s="12"/>
    </row>
    <row r="423">
      <c r="H423" s="12"/>
      <c r="P423" s="12"/>
    </row>
    <row r="424">
      <c r="H424" s="12"/>
      <c r="P424" s="12"/>
    </row>
    <row r="425">
      <c r="H425" s="12"/>
      <c r="P425" s="12"/>
    </row>
    <row r="426">
      <c r="H426" s="12"/>
      <c r="P426" s="12"/>
    </row>
    <row r="427">
      <c r="H427" s="12"/>
      <c r="P427" s="12"/>
    </row>
    <row r="428">
      <c r="H428" s="12"/>
      <c r="P428" s="12"/>
    </row>
    <row r="429">
      <c r="H429" s="12"/>
      <c r="P429" s="12"/>
    </row>
    <row r="430">
      <c r="H430" s="12"/>
      <c r="P430" s="12"/>
    </row>
    <row r="431">
      <c r="H431" s="12"/>
      <c r="P431" s="12"/>
    </row>
    <row r="432">
      <c r="H432" s="12"/>
      <c r="P432" s="12"/>
    </row>
    <row r="433">
      <c r="H433" s="12"/>
      <c r="P433" s="12"/>
    </row>
    <row r="434">
      <c r="H434" s="12"/>
      <c r="P434" s="12"/>
    </row>
    <row r="435">
      <c r="H435" s="12"/>
      <c r="P435" s="12"/>
    </row>
    <row r="436">
      <c r="H436" s="12"/>
      <c r="P436" s="12"/>
    </row>
    <row r="437">
      <c r="H437" s="12"/>
      <c r="P437" s="12"/>
    </row>
    <row r="438">
      <c r="H438" s="12"/>
      <c r="P438" s="12"/>
    </row>
    <row r="439">
      <c r="H439" s="12"/>
      <c r="P439" s="12"/>
    </row>
    <row r="440">
      <c r="H440" s="12"/>
      <c r="P440" s="12"/>
    </row>
    <row r="441">
      <c r="H441" s="12"/>
      <c r="P441" s="12"/>
    </row>
    <row r="442">
      <c r="H442" s="12"/>
      <c r="P442" s="12"/>
    </row>
    <row r="443">
      <c r="H443" s="12"/>
      <c r="P443" s="12"/>
    </row>
    <row r="444">
      <c r="H444" s="12"/>
      <c r="P444" s="12"/>
    </row>
    <row r="445">
      <c r="H445" s="12"/>
      <c r="P445" s="12"/>
    </row>
    <row r="446">
      <c r="H446" s="12"/>
      <c r="P446" s="12"/>
    </row>
    <row r="447">
      <c r="H447" s="12"/>
      <c r="P447" s="12"/>
    </row>
    <row r="448">
      <c r="H448" s="12"/>
      <c r="P448" s="12"/>
    </row>
    <row r="449">
      <c r="H449" s="12"/>
      <c r="P449" s="12"/>
    </row>
    <row r="450">
      <c r="H450" s="12"/>
      <c r="P450" s="12"/>
    </row>
    <row r="451">
      <c r="H451" s="12"/>
      <c r="P451" s="12"/>
    </row>
    <row r="452">
      <c r="H452" s="12"/>
      <c r="P452" s="12"/>
    </row>
    <row r="453">
      <c r="H453" s="12"/>
      <c r="P453" s="12"/>
    </row>
    <row r="454">
      <c r="H454" s="12"/>
      <c r="P454" s="12"/>
    </row>
    <row r="455">
      <c r="H455" s="12"/>
      <c r="P455" s="12"/>
    </row>
    <row r="456">
      <c r="H456" s="12"/>
      <c r="P456" s="12"/>
    </row>
    <row r="457">
      <c r="H457" s="12"/>
      <c r="P457" s="12"/>
    </row>
    <row r="458">
      <c r="H458" s="12"/>
      <c r="P458" s="12"/>
    </row>
    <row r="459">
      <c r="H459" s="12"/>
      <c r="P459" s="12"/>
    </row>
    <row r="460">
      <c r="H460" s="12"/>
      <c r="P460" s="12"/>
    </row>
    <row r="461">
      <c r="H461" s="12"/>
      <c r="P461" s="12"/>
    </row>
    <row r="462">
      <c r="H462" s="12"/>
      <c r="P462" s="12"/>
    </row>
    <row r="463">
      <c r="H463" s="12"/>
      <c r="P463" s="12"/>
    </row>
    <row r="464">
      <c r="H464" s="12"/>
      <c r="P464" s="12"/>
    </row>
    <row r="465">
      <c r="H465" s="12"/>
      <c r="P465" s="12"/>
    </row>
    <row r="466">
      <c r="H466" s="12"/>
      <c r="P466" s="12"/>
    </row>
    <row r="467">
      <c r="H467" s="12"/>
      <c r="P467" s="12"/>
    </row>
    <row r="468">
      <c r="H468" s="12"/>
      <c r="P468" s="12"/>
    </row>
    <row r="469">
      <c r="H469" s="12"/>
      <c r="P469" s="12"/>
    </row>
    <row r="470">
      <c r="H470" s="12"/>
      <c r="P470" s="12"/>
    </row>
    <row r="471">
      <c r="H471" s="12"/>
      <c r="P471" s="12"/>
    </row>
    <row r="472">
      <c r="H472" s="12"/>
      <c r="P472" s="12"/>
    </row>
    <row r="473">
      <c r="H473" s="12"/>
      <c r="P473" s="12"/>
    </row>
    <row r="474">
      <c r="H474" s="12"/>
      <c r="P474" s="12"/>
    </row>
    <row r="475">
      <c r="H475" s="12"/>
      <c r="P475" s="12"/>
    </row>
    <row r="476">
      <c r="H476" s="12"/>
      <c r="P476" s="12"/>
    </row>
    <row r="477">
      <c r="H477" s="12"/>
      <c r="P477" s="12"/>
    </row>
    <row r="478">
      <c r="H478" s="12"/>
      <c r="P478" s="12"/>
    </row>
    <row r="479">
      <c r="H479" s="12"/>
      <c r="P479" s="12"/>
    </row>
    <row r="480">
      <c r="H480" s="12"/>
      <c r="P480" s="12"/>
    </row>
    <row r="481">
      <c r="H481" s="12"/>
      <c r="P481" s="12"/>
    </row>
    <row r="482">
      <c r="H482" s="12"/>
      <c r="P482" s="12"/>
    </row>
    <row r="483">
      <c r="H483" s="12"/>
      <c r="P483" s="12"/>
    </row>
    <row r="484">
      <c r="H484" s="12"/>
      <c r="P484" s="12"/>
    </row>
    <row r="485">
      <c r="H485" s="12"/>
      <c r="P485" s="12"/>
    </row>
    <row r="486">
      <c r="H486" s="12"/>
      <c r="P486" s="12"/>
    </row>
    <row r="487">
      <c r="H487" s="12"/>
      <c r="P487" s="12"/>
    </row>
    <row r="488">
      <c r="H488" s="12"/>
      <c r="P488" s="12"/>
    </row>
    <row r="489">
      <c r="H489" s="12"/>
      <c r="P489" s="12"/>
    </row>
    <row r="490">
      <c r="H490" s="12"/>
      <c r="P490" s="12"/>
    </row>
    <row r="491">
      <c r="H491" s="12"/>
      <c r="P491" s="12"/>
    </row>
    <row r="492">
      <c r="H492" s="12"/>
      <c r="P492" s="12"/>
    </row>
    <row r="493">
      <c r="H493" s="12"/>
      <c r="P493" s="12"/>
    </row>
    <row r="494">
      <c r="H494" s="12"/>
      <c r="P494" s="12"/>
    </row>
    <row r="495">
      <c r="H495" s="12"/>
      <c r="P495" s="12"/>
    </row>
    <row r="496">
      <c r="H496" s="12"/>
      <c r="P496" s="12"/>
    </row>
    <row r="497">
      <c r="H497" s="12"/>
      <c r="P497" s="12"/>
    </row>
    <row r="498">
      <c r="H498" s="12"/>
      <c r="P498" s="12"/>
    </row>
    <row r="499">
      <c r="H499" s="12"/>
      <c r="P499" s="12"/>
    </row>
    <row r="500">
      <c r="H500" s="12"/>
      <c r="P500" s="12"/>
    </row>
    <row r="501">
      <c r="H501" s="12"/>
      <c r="P501" s="12"/>
    </row>
    <row r="502">
      <c r="H502" s="12"/>
      <c r="P502" s="12"/>
    </row>
    <row r="503">
      <c r="H503" s="12"/>
      <c r="P503" s="12"/>
    </row>
    <row r="504">
      <c r="H504" s="12"/>
      <c r="P504" s="12"/>
    </row>
    <row r="505">
      <c r="H505" s="12"/>
      <c r="P505" s="12"/>
    </row>
    <row r="506">
      <c r="H506" s="12"/>
      <c r="P506" s="12"/>
    </row>
    <row r="507">
      <c r="H507" s="12"/>
      <c r="P507" s="12"/>
    </row>
    <row r="508">
      <c r="H508" s="12"/>
      <c r="P508" s="12"/>
    </row>
    <row r="509">
      <c r="H509" s="12"/>
      <c r="P509" s="12"/>
    </row>
    <row r="510">
      <c r="H510" s="12"/>
      <c r="P510" s="12"/>
    </row>
    <row r="511">
      <c r="H511" s="12"/>
      <c r="P511" s="12"/>
    </row>
    <row r="512">
      <c r="H512" s="12"/>
      <c r="P512" s="12"/>
    </row>
    <row r="513">
      <c r="H513" s="12"/>
      <c r="P513" s="12"/>
    </row>
    <row r="514">
      <c r="H514" s="12"/>
      <c r="P514" s="12"/>
    </row>
    <row r="515">
      <c r="H515" s="12"/>
      <c r="P515" s="12"/>
    </row>
    <row r="516">
      <c r="H516" s="12"/>
      <c r="P516" s="12"/>
    </row>
    <row r="517">
      <c r="H517" s="12"/>
      <c r="P517" s="12"/>
    </row>
    <row r="518">
      <c r="H518" s="12"/>
      <c r="P518" s="12"/>
    </row>
    <row r="519">
      <c r="H519" s="12"/>
      <c r="P519" s="12"/>
    </row>
    <row r="520">
      <c r="H520" s="12"/>
      <c r="P520" s="12"/>
    </row>
    <row r="521">
      <c r="H521" s="12"/>
      <c r="P521" s="12"/>
    </row>
    <row r="522">
      <c r="H522" s="12"/>
      <c r="P522" s="12"/>
    </row>
    <row r="523">
      <c r="H523" s="12"/>
      <c r="P523" s="12"/>
    </row>
    <row r="524">
      <c r="H524" s="12"/>
      <c r="P524" s="12"/>
    </row>
    <row r="525">
      <c r="H525" s="12"/>
      <c r="P525" s="12"/>
    </row>
    <row r="526">
      <c r="H526" s="12"/>
      <c r="P526" s="12"/>
    </row>
    <row r="527">
      <c r="H527" s="12"/>
      <c r="P527" s="12"/>
    </row>
    <row r="528">
      <c r="H528" s="12"/>
      <c r="P528" s="12"/>
    </row>
    <row r="529">
      <c r="H529" s="12"/>
      <c r="P529" s="12"/>
    </row>
    <row r="530">
      <c r="H530" s="12"/>
      <c r="P530" s="12"/>
    </row>
    <row r="531">
      <c r="H531" s="12"/>
      <c r="P531" s="12"/>
    </row>
    <row r="532">
      <c r="H532" s="12"/>
      <c r="P532" s="12"/>
    </row>
    <row r="533">
      <c r="H533" s="12"/>
      <c r="P533" s="12"/>
    </row>
    <row r="534">
      <c r="H534" s="12"/>
      <c r="P534" s="12"/>
    </row>
    <row r="535">
      <c r="H535" s="12"/>
      <c r="P535" s="12"/>
    </row>
    <row r="536">
      <c r="H536" s="12"/>
      <c r="P536" s="12"/>
    </row>
    <row r="537">
      <c r="H537" s="12"/>
      <c r="P537" s="12"/>
    </row>
    <row r="538">
      <c r="H538" s="12"/>
      <c r="P538" s="12"/>
    </row>
    <row r="539">
      <c r="H539" s="12"/>
      <c r="P539" s="12"/>
    </row>
    <row r="540">
      <c r="H540" s="12"/>
      <c r="P540" s="12"/>
    </row>
    <row r="541">
      <c r="H541" s="12"/>
      <c r="P541" s="12"/>
    </row>
    <row r="542">
      <c r="H542" s="12"/>
      <c r="P542" s="12"/>
    </row>
    <row r="543">
      <c r="H543" s="12"/>
      <c r="P543" s="12"/>
    </row>
    <row r="544">
      <c r="H544" s="12"/>
      <c r="P544" s="12"/>
    </row>
    <row r="545">
      <c r="H545" s="12"/>
      <c r="P545" s="12"/>
    </row>
    <row r="546">
      <c r="H546" s="12"/>
      <c r="P546" s="12"/>
    </row>
    <row r="547">
      <c r="H547" s="12"/>
      <c r="P547" s="12"/>
    </row>
    <row r="548">
      <c r="H548" s="12"/>
      <c r="P548" s="12"/>
    </row>
    <row r="549">
      <c r="H549" s="12"/>
      <c r="P549" s="12"/>
    </row>
    <row r="550">
      <c r="H550" s="12"/>
      <c r="P550" s="12"/>
    </row>
    <row r="551">
      <c r="H551" s="12"/>
      <c r="P551" s="12"/>
    </row>
    <row r="552">
      <c r="H552" s="12"/>
      <c r="P552" s="12"/>
    </row>
    <row r="553">
      <c r="H553" s="12"/>
      <c r="P553" s="12"/>
    </row>
    <row r="554">
      <c r="H554" s="12"/>
      <c r="P554" s="12"/>
    </row>
    <row r="555">
      <c r="H555" s="12"/>
      <c r="P555" s="12"/>
    </row>
    <row r="556">
      <c r="H556" s="12"/>
      <c r="P556" s="12"/>
    </row>
    <row r="557">
      <c r="H557" s="12"/>
      <c r="P557" s="12"/>
    </row>
    <row r="558">
      <c r="H558" s="12"/>
      <c r="P558" s="12"/>
    </row>
    <row r="559">
      <c r="H559" s="12"/>
      <c r="P559" s="12"/>
    </row>
    <row r="560">
      <c r="H560" s="12"/>
      <c r="P560" s="12"/>
    </row>
    <row r="561">
      <c r="H561" s="12"/>
      <c r="P561" s="12"/>
    </row>
    <row r="562">
      <c r="H562" s="12"/>
      <c r="P562" s="12"/>
    </row>
    <row r="563">
      <c r="H563" s="12"/>
      <c r="P563" s="12"/>
    </row>
    <row r="564">
      <c r="H564" s="12"/>
      <c r="P564" s="12"/>
    </row>
    <row r="565">
      <c r="H565" s="12"/>
      <c r="P565" s="12"/>
    </row>
    <row r="566">
      <c r="H566" s="12"/>
      <c r="P566" s="12"/>
    </row>
    <row r="567">
      <c r="H567" s="12"/>
      <c r="P567" s="12"/>
    </row>
    <row r="568">
      <c r="H568" s="12"/>
      <c r="P568" s="12"/>
    </row>
    <row r="569">
      <c r="H569" s="12"/>
      <c r="P569" s="12"/>
    </row>
    <row r="570">
      <c r="H570" s="12"/>
      <c r="P570" s="12"/>
    </row>
    <row r="571">
      <c r="H571" s="12"/>
      <c r="P571" s="12"/>
    </row>
    <row r="572">
      <c r="H572" s="12"/>
      <c r="P572" s="12"/>
    </row>
    <row r="573">
      <c r="H573" s="12"/>
      <c r="P573" s="12"/>
    </row>
    <row r="574">
      <c r="H574" s="12"/>
      <c r="P574" s="12"/>
    </row>
    <row r="575">
      <c r="H575" s="12"/>
      <c r="P575" s="12"/>
    </row>
    <row r="576">
      <c r="H576" s="12"/>
      <c r="P576" s="12"/>
    </row>
    <row r="577">
      <c r="H577" s="12"/>
      <c r="P577" s="12"/>
    </row>
    <row r="578">
      <c r="H578" s="12"/>
      <c r="P578" s="12"/>
    </row>
    <row r="579">
      <c r="H579" s="12"/>
      <c r="P579" s="12"/>
    </row>
    <row r="580">
      <c r="H580" s="12"/>
      <c r="P580" s="12"/>
    </row>
    <row r="581">
      <c r="H581" s="12"/>
      <c r="P581" s="12"/>
    </row>
    <row r="582">
      <c r="H582" s="12"/>
      <c r="P582" s="12"/>
    </row>
    <row r="583">
      <c r="H583" s="12"/>
      <c r="P583" s="12"/>
    </row>
    <row r="584">
      <c r="H584" s="12"/>
      <c r="P584" s="12"/>
    </row>
    <row r="585">
      <c r="H585" s="12"/>
      <c r="P585" s="12"/>
    </row>
    <row r="586">
      <c r="H586" s="12"/>
      <c r="P586" s="12"/>
    </row>
    <row r="587">
      <c r="H587" s="12"/>
      <c r="P587" s="12"/>
    </row>
    <row r="588">
      <c r="H588" s="12"/>
      <c r="P588" s="12"/>
    </row>
    <row r="589">
      <c r="H589" s="12"/>
      <c r="P589" s="12"/>
    </row>
    <row r="590">
      <c r="H590" s="12"/>
      <c r="P590" s="12"/>
    </row>
    <row r="591">
      <c r="H591" s="12"/>
      <c r="P591" s="12"/>
    </row>
    <row r="592">
      <c r="H592" s="12"/>
      <c r="P592" s="12"/>
    </row>
    <row r="593">
      <c r="H593" s="12"/>
      <c r="P593" s="12"/>
    </row>
    <row r="594">
      <c r="H594" s="12"/>
      <c r="P594" s="12"/>
    </row>
    <row r="595">
      <c r="H595" s="12"/>
      <c r="P595" s="12"/>
    </row>
    <row r="596">
      <c r="H596" s="12"/>
      <c r="P596" s="12"/>
    </row>
    <row r="597">
      <c r="H597" s="12"/>
      <c r="P597" s="12"/>
    </row>
    <row r="598">
      <c r="H598" s="12"/>
      <c r="P598" s="12"/>
    </row>
    <row r="599">
      <c r="H599" s="12"/>
      <c r="P599" s="12"/>
    </row>
    <row r="600">
      <c r="H600" s="12"/>
      <c r="P600" s="12"/>
    </row>
    <row r="601">
      <c r="H601" s="12"/>
      <c r="P601" s="12"/>
    </row>
    <row r="602">
      <c r="H602" s="12"/>
      <c r="P602" s="12"/>
    </row>
    <row r="603">
      <c r="H603" s="12"/>
      <c r="P603" s="12"/>
    </row>
    <row r="604">
      <c r="H604" s="12"/>
      <c r="P604" s="12"/>
    </row>
    <row r="605">
      <c r="H605" s="12"/>
      <c r="P605" s="12"/>
    </row>
    <row r="606">
      <c r="H606" s="12"/>
      <c r="P606" s="12"/>
    </row>
    <row r="607">
      <c r="H607" s="12"/>
      <c r="P607" s="12"/>
    </row>
    <row r="608">
      <c r="H608" s="12"/>
      <c r="P608" s="12"/>
    </row>
    <row r="609">
      <c r="H609" s="12"/>
      <c r="P609" s="12"/>
    </row>
    <row r="610">
      <c r="H610" s="12"/>
      <c r="P610" s="12"/>
    </row>
    <row r="611">
      <c r="H611" s="12"/>
      <c r="P611" s="12"/>
    </row>
    <row r="612">
      <c r="H612" s="12"/>
      <c r="P612" s="12"/>
    </row>
    <row r="613">
      <c r="H613" s="12"/>
      <c r="P613" s="12"/>
    </row>
    <row r="614">
      <c r="H614" s="12"/>
      <c r="P614" s="12"/>
    </row>
    <row r="615">
      <c r="H615" s="12"/>
      <c r="P615" s="12"/>
    </row>
    <row r="616">
      <c r="H616" s="12"/>
      <c r="P616" s="12"/>
    </row>
    <row r="617">
      <c r="H617" s="12"/>
      <c r="P617" s="12"/>
    </row>
    <row r="618">
      <c r="H618" s="12"/>
      <c r="P618" s="12"/>
    </row>
    <row r="619">
      <c r="H619" s="12"/>
      <c r="P619" s="12"/>
    </row>
    <row r="620">
      <c r="H620" s="12"/>
      <c r="P620" s="12"/>
    </row>
    <row r="621">
      <c r="H621" s="12"/>
      <c r="P621" s="12"/>
    </row>
    <row r="622">
      <c r="H622" s="12"/>
      <c r="P622" s="12"/>
    </row>
    <row r="623">
      <c r="H623" s="12"/>
      <c r="P623" s="12"/>
    </row>
    <row r="624">
      <c r="H624" s="12"/>
      <c r="P624" s="12"/>
    </row>
    <row r="625">
      <c r="H625" s="12"/>
      <c r="P625" s="12"/>
    </row>
    <row r="626">
      <c r="H626" s="12"/>
      <c r="P626" s="12"/>
    </row>
    <row r="627">
      <c r="H627" s="12"/>
      <c r="P627" s="12"/>
    </row>
    <row r="628">
      <c r="H628" s="12"/>
      <c r="P628" s="12"/>
    </row>
    <row r="629">
      <c r="H629" s="12"/>
      <c r="P629" s="12"/>
    </row>
    <row r="630">
      <c r="H630" s="12"/>
      <c r="P630" s="12"/>
    </row>
    <row r="631">
      <c r="H631" s="12"/>
      <c r="P631" s="12"/>
    </row>
    <row r="632">
      <c r="H632" s="12"/>
      <c r="P632" s="12"/>
    </row>
    <row r="633">
      <c r="H633" s="12"/>
      <c r="P633" s="12"/>
    </row>
    <row r="634">
      <c r="H634" s="12"/>
      <c r="P634" s="12"/>
    </row>
    <row r="635">
      <c r="H635" s="12"/>
      <c r="P635" s="12"/>
    </row>
    <row r="636">
      <c r="H636" s="12"/>
      <c r="P636" s="12"/>
    </row>
    <row r="637">
      <c r="H637" s="12"/>
      <c r="P637" s="12"/>
    </row>
    <row r="638">
      <c r="H638" s="12"/>
      <c r="P638" s="12"/>
    </row>
    <row r="639">
      <c r="H639" s="12"/>
      <c r="P639" s="12"/>
    </row>
    <row r="640">
      <c r="H640" s="12"/>
      <c r="P640" s="12"/>
    </row>
    <row r="641">
      <c r="H641" s="12"/>
      <c r="P641" s="12"/>
    </row>
    <row r="642">
      <c r="H642" s="12"/>
      <c r="P642" s="12"/>
    </row>
    <row r="643">
      <c r="H643" s="12"/>
      <c r="P643" s="12"/>
    </row>
    <row r="644">
      <c r="H644" s="12"/>
      <c r="P644" s="12"/>
    </row>
    <row r="645">
      <c r="H645" s="12"/>
      <c r="P645" s="12"/>
    </row>
    <row r="646">
      <c r="H646" s="12"/>
      <c r="P646" s="12"/>
    </row>
    <row r="647">
      <c r="H647" s="12"/>
      <c r="P647" s="12"/>
    </row>
    <row r="648">
      <c r="H648" s="12"/>
      <c r="P648" s="12"/>
    </row>
    <row r="649">
      <c r="H649" s="12"/>
      <c r="P649" s="12"/>
    </row>
    <row r="650">
      <c r="H650" s="12"/>
      <c r="P650" s="12"/>
    </row>
    <row r="651">
      <c r="H651" s="12"/>
      <c r="P651" s="12"/>
    </row>
    <row r="652">
      <c r="H652" s="12"/>
      <c r="P652" s="12"/>
    </row>
    <row r="653">
      <c r="H653" s="12"/>
      <c r="P653" s="12"/>
    </row>
    <row r="654">
      <c r="H654" s="12"/>
      <c r="P654" s="12"/>
    </row>
    <row r="655">
      <c r="H655" s="12"/>
      <c r="P655" s="12"/>
    </row>
    <row r="656">
      <c r="H656" s="12"/>
      <c r="P656" s="12"/>
    </row>
    <row r="657">
      <c r="H657" s="12"/>
      <c r="P657" s="12"/>
    </row>
    <row r="658">
      <c r="H658" s="12"/>
      <c r="P658" s="12"/>
    </row>
    <row r="659">
      <c r="H659" s="12"/>
      <c r="P659" s="12"/>
    </row>
    <row r="660">
      <c r="H660" s="12"/>
      <c r="P660" s="12"/>
    </row>
    <row r="661">
      <c r="H661" s="12"/>
      <c r="P661" s="12"/>
    </row>
    <row r="662">
      <c r="H662" s="12"/>
      <c r="P662" s="12"/>
    </row>
    <row r="663">
      <c r="H663" s="12"/>
      <c r="P663" s="12"/>
    </row>
    <row r="664">
      <c r="H664" s="12"/>
      <c r="P664" s="12"/>
    </row>
    <row r="665">
      <c r="H665" s="12"/>
      <c r="P665" s="12"/>
    </row>
    <row r="666">
      <c r="H666" s="12"/>
      <c r="P666" s="12"/>
    </row>
    <row r="667">
      <c r="H667" s="12"/>
      <c r="P667" s="12"/>
    </row>
    <row r="668">
      <c r="H668" s="12"/>
      <c r="P668" s="12"/>
    </row>
    <row r="669">
      <c r="H669" s="12"/>
      <c r="P669" s="12"/>
    </row>
    <row r="670">
      <c r="H670" s="12"/>
      <c r="P670" s="12"/>
    </row>
    <row r="671">
      <c r="H671" s="12"/>
      <c r="P671" s="12"/>
    </row>
    <row r="672">
      <c r="H672" s="12"/>
      <c r="P672" s="12"/>
    </row>
    <row r="673">
      <c r="H673" s="12"/>
      <c r="P673" s="12"/>
    </row>
    <row r="674">
      <c r="H674" s="12"/>
      <c r="P674" s="12"/>
    </row>
    <row r="675">
      <c r="H675" s="12"/>
      <c r="P675" s="12"/>
    </row>
    <row r="676">
      <c r="H676" s="12"/>
      <c r="P676" s="12"/>
    </row>
    <row r="677">
      <c r="H677" s="12"/>
      <c r="P677" s="12"/>
    </row>
    <row r="678">
      <c r="H678" s="12"/>
      <c r="P678" s="12"/>
    </row>
    <row r="679">
      <c r="H679" s="12"/>
      <c r="P679" s="12"/>
    </row>
    <row r="680">
      <c r="H680" s="12"/>
      <c r="P680" s="12"/>
    </row>
    <row r="681">
      <c r="H681" s="12"/>
      <c r="P681" s="12"/>
    </row>
    <row r="682">
      <c r="H682" s="12"/>
      <c r="P682" s="12"/>
    </row>
    <row r="683">
      <c r="H683" s="12"/>
      <c r="P683" s="12"/>
    </row>
    <row r="684">
      <c r="H684" s="12"/>
      <c r="P684" s="12"/>
    </row>
    <row r="685">
      <c r="H685" s="12"/>
      <c r="P685" s="12"/>
    </row>
    <row r="686">
      <c r="H686" s="12"/>
      <c r="P686" s="12"/>
    </row>
    <row r="687">
      <c r="H687" s="12"/>
      <c r="P687" s="12"/>
    </row>
    <row r="688">
      <c r="H688" s="12"/>
      <c r="P688" s="12"/>
    </row>
    <row r="689">
      <c r="H689" s="12"/>
      <c r="P689" s="12"/>
    </row>
    <row r="690">
      <c r="H690" s="12"/>
      <c r="P690" s="12"/>
    </row>
    <row r="691">
      <c r="H691" s="12"/>
      <c r="P691" s="12"/>
    </row>
    <row r="692">
      <c r="H692" s="12"/>
      <c r="P692" s="12"/>
    </row>
    <row r="693">
      <c r="H693" s="12"/>
      <c r="P693" s="12"/>
    </row>
    <row r="694">
      <c r="H694" s="12"/>
      <c r="P694" s="12"/>
    </row>
    <row r="695">
      <c r="H695" s="12"/>
      <c r="P695" s="12"/>
    </row>
    <row r="696">
      <c r="H696" s="12"/>
      <c r="P696" s="12"/>
    </row>
    <row r="697">
      <c r="H697" s="12"/>
      <c r="P697" s="12"/>
    </row>
    <row r="698">
      <c r="H698" s="12"/>
      <c r="P698" s="12"/>
    </row>
    <row r="699">
      <c r="H699" s="12"/>
      <c r="P699" s="12"/>
    </row>
    <row r="700">
      <c r="H700" s="12"/>
      <c r="P700" s="12"/>
    </row>
    <row r="701">
      <c r="H701" s="12"/>
      <c r="P701" s="12"/>
    </row>
    <row r="702">
      <c r="H702" s="12"/>
      <c r="P702" s="12"/>
    </row>
    <row r="703">
      <c r="H703" s="12"/>
      <c r="P703" s="12"/>
    </row>
    <row r="704">
      <c r="H704" s="12"/>
      <c r="P704" s="12"/>
    </row>
    <row r="705">
      <c r="H705" s="12"/>
      <c r="P705" s="12"/>
    </row>
    <row r="706">
      <c r="H706" s="12"/>
      <c r="P706" s="12"/>
    </row>
    <row r="707">
      <c r="H707" s="12"/>
      <c r="P707" s="12"/>
    </row>
    <row r="708">
      <c r="H708" s="12"/>
      <c r="P708" s="12"/>
    </row>
    <row r="709">
      <c r="H709" s="12"/>
      <c r="P709" s="12"/>
    </row>
    <row r="710">
      <c r="H710" s="12"/>
      <c r="P710" s="12"/>
    </row>
    <row r="711">
      <c r="H711" s="12"/>
      <c r="P711" s="12"/>
    </row>
    <row r="712">
      <c r="H712" s="12"/>
      <c r="P712" s="12"/>
    </row>
    <row r="713">
      <c r="H713" s="12"/>
      <c r="P713" s="12"/>
    </row>
    <row r="714">
      <c r="H714" s="12"/>
      <c r="P714" s="12"/>
    </row>
    <row r="715">
      <c r="H715" s="12"/>
      <c r="P715" s="12"/>
    </row>
    <row r="716">
      <c r="H716" s="12"/>
      <c r="P716" s="12"/>
    </row>
    <row r="717">
      <c r="H717" s="12"/>
      <c r="P717" s="12"/>
    </row>
    <row r="718">
      <c r="H718" s="12"/>
      <c r="P718" s="12"/>
    </row>
    <row r="719">
      <c r="H719" s="12"/>
      <c r="P719" s="12"/>
    </row>
    <row r="720">
      <c r="H720" s="12"/>
      <c r="P720" s="12"/>
    </row>
    <row r="721">
      <c r="H721" s="12"/>
      <c r="P721" s="12"/>
    </row>
    <row r="722">
      <c r="H722" s="12"/>
      <c r="P722" s="12"/>
    </row>
    <row r="723">
      <c r="H723" s="12"/>
      <c r="P723" s="12"/>
    </row>
    <row r="724">
      <c r="H724" s="12"/>
      <c r="P724" s="12"/>
    </row>
    <row r="725">
      <c r="H725" s="12"/>
      <c r="P725" s="12"/>
    </row>
    <row r="726">
      <c r="H726" s="12"/>
      <c r="P726" s="12"/>
    </row>
    <row r="727">
      <c r="H727" s="12"/>
      <c r="P727" s="12"/>
    </row>
    <row r="728">
      <c r="H728" s="12"/>
      <c r="P728" s="12"/>
    </row>
    <row r="729">
      <c r="H729" s="12"/>
      <c r="P729" s="12"/>
    </row>
    <row r="730">
      <c r="H730" s="12"/>
      <c r="P730" s="12"/>
    </row>
    <row r="731">
      <c r="H731" s="12"/>
      <c r="P731" s="12"/>
    </row>
    <row r="732">
      <c r="H732" s="12"/>
      <c r="P732" s="12"/>
    </row>
    <row r="733">
      <c r="H733" s="12"/>
      <c r="P733" s="12"/>
    </row>
    <row r="734">
      <c r="H734" s="12"/>
      <c r="P734" s="12"/>
    </row>
    <row r="735">
      <c r="H735" s="12"/>
      <c r="P735" s="12"/>
    </row>
    <row r="736">
      <c r="H736" s="12"/>
      <c r="P736" s="12"/>
    </row>
    <row r="737">
      <c r="H737" s="12"/>
      <c r="P737" s="12"/>
    </row>
    <row r="738">
      <c r="H738" s="12"/>
      <c r="P738" s="12"/>
    </row>
    <row r="739">
      <c r="H739" s="12"/>
      <c r="P739" s="12"/>
    </row>
    <row r="740">
      <c r="H740" s="12"/>
      <c r="P740" s="12"/>
    </row>
    <row r="741">
      <c r="H741" s="12"/>
      <c r="P741" s="12"/>
    </row>
    <row r="742">
      <c r="H742" s="12"/>
      <c r="P742" s="12"/>
    </row>
    <row r="743">
      <c r="H743" s="12"/>
      <c r="P743" s="12"/>
    </row>
    <row r="744">
      <c r="H744" s="12"/>
      <c r="P744" s="12"/>
    </row>
    <row r="745">
      <c r="H745" s="12"/>
      <c r="P745" s="12"/>
    </row>
    <row r="746">
      <c r="H746" s="12"/>
      <c r="P746" s="12"/>
    </row>
    <row r="747">
      <c r="H747" s="12"/>
      <c r="P747" s="12"/>
    </row>
    <row r="748">
      <c r="H748" s="12"/>
      <c r="P748" s="12"/>
    </row>
    <row r="749">
      <c r="H749" s="12"/>
      <c r="P749" s="12"/>
    </row>
    <row r="750">
      <c r="H750" s="12"/>
      <c r="P750" s="12"/>
    </row>
    <row r="751">
      <c r="H751" s="12"/>
      <c r="P751" s="12"/>
    </row>
    <row r="752">
      <c r="H752" s="12"/>
      <c r="P752" s="12"/>
    </row>
    <row r="753">
      <c r="H753" s="12"/>
      <c r="P753" s="12"/>
    </row>
    <row r="754">
      <c r="H754" s="12"/>
      <c r="P754" s="12"/>
    </row>
    <row r="755">
      <c r="H755" s="12"/>
      <c r="P755" s="12"/>
    </row>
    <row r="756">
      <c r="H756" s="12"/>
      <c r="P756" s="12"/>
    </row>
    <row r="757">
      <c r="H757" s="12"/>
      <c r="P757" s="12"/>
    </row>
    <row r="758">
      <c r="H758" s="12"/>
      <c r="P758" s="12"/>
    </row>
    <row r="759">
      <c r="H759" s="12"/>
      <c r="P759" s="12"/>
    </row>
    <row r="760">
      <c r="H760" s="12"/>
      <c r="P760" s="12"/>
    </row>
    <row r="761">
      <c r="H761" s="12"/>
      <c r="P761" s="12"/>
    </row>
    <row r="762">
      <c r="H762" s="12"/>
      <c r="P762" s="12"/>
    </row>
    <row r="763">
      <c r="H763" s="12"/>
      <c r="P763" s="12"/>
    </row>
    <row r="764">
      <c r="H764" s="12"/>
      <c r="P764" s="12"/>
    </row>
    <row r="765">
      <c r="H765" s="12"/>
      <c r="P765" s="12"/>
    </row>
    <row r="766">
      <c r="H766" s="12"/>
      <c r="P766" s="12"/>
    </row>
    <row r="767">
      <c r="H767" s="12"/>
      <c r="P767" s="12"/>
    </row>
    <row r="768">
      <c r="H768" s="12"/>
      <c r="P768" s="12"/>
    </row>
    <row r="769">
      <c r="H769" s="12"/>
      <c r="P769" s="12"/>
    </row>
    <row r="770">
      <c r="H770" s="12"/>
      <c r="P770" s="12"/>
    </row>
    <row r="771">
      <c r="H771" s="12"/>
      <c r="P771" s="12"/>
    </row>
    <row r="772">
      <c r="H772" s="12"/>
      <c r="P772" s="12"/>
    </row>
    <row r="773">
      <c r="H773" s="12"/>
      <c r="P773" s="12"/>
    </row>
    <row r="774">
      <c r="H774" s="12"/>
      <c r="P774" s="12"/>
    </row>
    <row r="775">
      <c r="H775" s="12"/>
      <c r="P775" s="12"/>
    </row>
    <row r="776">
      <c r="H776" s="12"/>
      <c r="P776" s="12"/>
    </row>
    <row r="777">
      <c r="H777" s="12"/>
      <c r="P777" s="12"/>
    </row>
    <row r="778">
      <c r="H778" s="12"/>
      <c r="P778" s="12"/>
    </row>
    <row r="779">
      <c r="H779" s="12"/>
      <c r="P779" s="12"/>
    </row>
    <row r="780">
      <c r="H780" s="12"/>
      <c r="P780" s="12"/>
    </row>
    <row r="781">
      <c r="H781" s="12"/>
      <c r="P781" s="12"/>
    </row>
    <row r="782">
      <c r="H782" s="12"/>
      <c r="P782" s="12"/>
    </row>
    <row r="783">
      <c r="H783" s="12"/>
      <c r="P783" s="12"/>
    </row>
    <row r="784">
      <c r="H784" s="12"/>
      <c r="P784" s="12"/>
    </row>
    <row r="785">
      <c r="H785" s="12"/>
      <c r="P785" s="12"/>
    </row>
    <row r="786">
      <c r="H786" s="12"/>
      <c r="P786" s="12"/>
    </row>
    <row r="787">
      <c r="H787" s="12"/>
      <c r="P787" s="12"/>
    </row>
    <row r="788">
      <c r="H788" s="12"/>
      <c r="P788" s="12"/>
    </row>
    <row r="789">
      <c r="H789" s="12"/>
      <c r="P789" s="12"/>
    </row>
    <row r="790">
      <c r="H790" s="12"/>
      <c r="P790" s="12"/>
    </row>
    <row r="791">
      <c r="H791" s="12"/>
      <c r="P791" s="12"/>
    </row>
    <row r="792">
      <c r="H792" s="12"/>
      <c r="P792" s="12"/>
    </row>
    <row r="793">
      <c r="H793" s="12"/>
      <c r="P793" s="12"/>
    </row>
    <row r="794">
      <c r="H794" s="12"/>
      <c r="P794" s="12"/>
    </row>
    <row r="795">
      <c r="H795" s="12"/>
      <c r="P795" s="12"/>
    </row>
    <row r="796">
      <c r="H796" s="12"/>
      <c r="P796" s="12"/>
    </row>
    <row r="797">
      <c r="H797" s="12"/>
      <c r="P797" s="12"/>
    </row>
    <row r="798">
      <c r="H798" s="12"/>
      <c r="P798" s="12"/>
    </row>
    <row r="799">
      <c r="H799" s="12"/>
      <c r="P799" s="12"/>
    </row>
    <row r="800">
      <c r="H800" s="12"/>
      <c r="P800" s="12"/>
    </row>
    <row r="801">
      <c r="H801" s="12"/>
      <c r="P801" s="12"/>
    </row>
    <row r="802">
      <c r="H802" s="12"/>
      <c r="P802" s="12"/>
    </row>
    <row r="803">
      <c r="H803" s="12"/>
      <c r="P803" s="12"/>
    </row>
    <row r="804">
      <c r="H804" s="12"/>
      <c r="P804" s="12"/>
    </row>
    <row r="805">
      <c r="H805" s="12"/>
      <c r="P805" s="12"/>
    </row>
    <row r="806">
      <c r="H806" s="12"/>
      <c r="P806" s="12"/>
    </row>
    <row r="807">
      <c r="H807" s="12"/>
      <c r="P807" s="12"/>
    </row>
    <row r="808">
      <c r="H808" s="12"/>
      <c r="P808" s="12"/>
    </row>
    <row r="809">
      <c r="H809" s="12"/>
      <c r="P809" s="12"/>
    </row>
    <row r="810">
      <c r="H810" s="12"/>
      <c r="P810" s="12"/>
    </row>
    <row r="811">
      <c r="H811" s="12"/>
      <c r="P811" s="12"/>
    </row>
    <row r="812">
      <c r="H812" s="12"/>
      <c r="P812" s="12"/>
    </row>
    <row r="813">
      <c r="H813" s="12"/>
      <c r="P813" s="12"/>
    </row>
    <row r="814">
      <c r="H814" s="12"/>
      <c r="P814" s="12"/>
    </row>
    <row r="815">
      <c r="H815" s="12"/>
      <c r="P815" s="12"/>
    </row>
    <row r="816">
      <c r="H816" s="12"/>
      <c r="P816" s="12"/>
    </row>
    <row r="817">
      <c r="H817" s="12"/>
      <c r="P817" s="12"/>
    </row>
    <row r="818">
      <c r="H818" s="12"/>
      <c r="P818" s="12"/>
    </row>
    <row r="819">
      <c r="H819" s="12"/>
      <c r="P819" s="12"/>
    </row>
    <row r="820">
      <c r="H820" s="12"/>
      <c r="P820" s="12"/>
    </row>
    <row r="821">
      <c r="H821" s="12"/>
      <c r="P821" s="12"/>
    </row>
    <row r="822">
      <c r="H822" s="12"/>
      <c r="P822" s="12"/>
    </row>
    <row r="823">
      <c r="H823" s="12"/>
      <c r="P823" s="12"/>
    </row>
    <row r="824">
      <c r="H824" s="12"/>
      <c r="P824" s="12"/>
    </row>
    <row r="825">
      <c r="H825" s="12"/>
      <c r="P825" s="12"/>
    </row>
    <row r="826">
      <c r="H826" s="12"/>
      <c r="P826" s="12"/>
    </row>
    <row r="827">
      <c r="H827" s="12"/>
      <c r="P827" s="12"/>
    </row>
    <row r="828">
      <c r="H828" s="12"/>
      <c r="P828" s="12"/>
    </row>
    <row r="829">
      <c r="H829" s="12"/>
      <c r="P829" s="12"/>
    </row>
    <row r="830">
      <c r="H830" s="12"/>
      <c r="P830" s="12"/>
    </row>
    <row r="831">
      <c r="H831" s="12"/>
      <c r="P831" s="12"/>
    </row>
    <row r="832">
      <c r="H832" s="12"/>
      <c r="P832" s="12"/>
    </row>
    <row r="833">
      <c r="H833" s="12"/>
      <c r="P833" s="12"/>
    </row>
    <row r="834">
      <c r="H834" s="12"/>
      <c r="P834" s="12"/>
    </row>
    <row r="835">
      <c r="H835" s="12"/>
      <c r="P835" s="12"/>
    </row>
    <row r="836">
      <c r="H836" s="12"/>
      <c r="P836" s="12"/>
    </row>
    <row r="837">
      <c r="H837" s="12"/>
      <c r="P837" s="12"/>
    </row>
    <row r="838">
      <c r="H838" s="12"/>
      <c r="P838" s="12"/>
    </row>
    <row r="839">
      <c r="H839" s="12"/>
      <c r="P839" s="12"/>
    </row>
    <row r="840">
      <c r="H840" s="12"/>
      <c r="P840" s="12"/>
    </row>
    <row r="841">
      <c r="H841" s="12"/>
      <c r="P841" s="12"/>
    </row>
    <row r="842">
      <c r="H842" s="12"/>
      <c r="P842" s="12"/>
    </row>
    <row r="843">
      <c r="H843" s="12"/>
      <c r="P843" s="12"/>
    </row>
    <row r="844">
      <c r="H844" s="12"/>
      <c r="P844" s="12"/>
    </row>
    <row r="845">
      <c r="H845" s="12"/>
      <c r="P845" s="12"/>
    </row>
    <row r="846">
      <c r="H846" s="12"/>
      <c r="P846" s="12"/>
    </row>
    <row r="847">
      <c r="H847" s="12"/>
      <c r="P847" s="12"/>
    </row>
    <row r="848">
      <c r="H848" s="12"/>
      <c r="P848" s="12"/>
    </row>
    <row r="849">
      <c r="H849" s="12"/>
      <c r="P849" s="12"/>
    </row>
    <row r="850">
      <c r="H850" s="12"/>
      <c r="P850" s="12"/>
    </row>
    <row r="851">
      <c r="H851" s="12"/>
      <c r="P851" s="12"/>
    </row>
    <row r="852">
      <c r="H852" s="12"/>
      <c r="P852" s="12"/>
    </row>
    <row r="853">
      <c r="H853" s="12"/>
      <c r="P853" s="12"/>
    </row>
    <row r="854">
      <c r="H854" s="12"/>
      <c r="P854" s="12"/>
    </row>
    <row r="855">
      <c r="H855" s="12"/>
      <c r="P855" s="12"/>
    </row>
    <row r="856">
      <c r="H856" s="12"/>
      <c r="P856" s="12"/>
    </row>
    <row r="857">
      <c r="H857" s="12"/>
      <c r="P857" s="12"/>
    </row>
    <row r="858">
      <c r="H858" s="12"/>
      <c r="P858" s="12"/>
    </row>
    <row r="859">
      <c r="H859" s="12"/>
      <c r="P859" s="12"/>
    </row>
    <row r="860">
      <c r="H860" s="12"/>
      <c r="P860" s="12"/>
    </row>
    <row r="861">
      <c r="H861" s="12"/>
      <c r="P861" s="12"/>
    </row>
    <row r="862">
      <c r="H862" s="12"/>
      <c r="P862" s="12"/>
    </row>
    <row r="863">
      <c r="H863" s="12"/>
      <c r="P863" s="12"/>
    </row>
    <row r="864">
      <c r="H864" s="12"/>
      <c r="P864" s="12"/>
    </row>
    <row r="865">
      <c r="H865" s="12"/>
      <c r="P865" s="12"/>
    </row>
    <row r="866">
      <c r="H866" s="12"/>
      <c r="P866" s="12"/>
    </row>
    <row r="867">
      <c r="H867" s="12"/>
      <c r="P867" s="12"/>
    </row>
    <row r="868">
      <c r="H868" s="12"/>
      <c r="P868" s="12"/>
    </row>
    <row r="869">
      <c r="H869" s="12"/>
      <c r="P869" s="12"/>
    </row>
    <row r="870">
      <c r="H870" s="12"/>
      <c r="P870" s="12"/>
    </row>
    <row r="871">
      <c r="H871" s="12"/>
      <c r="P871" s="12"/>
    </row>
    <row r="872">
      <c r="H872" s="12"/>
      <c r="P872" s="12"/>
    </row>
    <row r="873">
      <c r="H873" s="12"/>
      <c r="P873" s="12"/>
    </row>
    <row r="874">
      <c r="H874" s="12"/>
      <c r="P874" s="12"/>
    </row>
    <row r="875">
      <c r="H875" s="12"/>
      <c r="P875" s="12"/>
    </row>
    <row r="876">
      <c r="H876" s="12"/>
      <c r="P876" s="12"/>
    </row>
    <row r="877">
      <c r="H877" s="12"/>
      <c r="P877" s="12"/>
    </row>
    <row r="878">
      <c r="H878" s="12"/>
      <c r="P878" s="12"/>
    </row>
    <row r="879">
      <c r="H879" s="12"/>
      <c r="P879" s="12"/>
    </row>
    <row r="880">
      <c r="H880" s="12"/>
      <c r="P880" s="12"/>
    </row>
    <row r="881">
      <c r="H881" s="12"/>
      <c r="P881" s="12"/>
    </row>
    <row r="882">
      <c r="H882" s="12"/>
      <c r="P882" s="12"/>
    </row>
    <row r="883">
      <c r="H883" s="12"/>
      <c r="P883" s="12"/>
    </row>
    <row r="884">
      <c r="H884" s="12"/>
      <c r="P884" s="12"/>
    </row>
    <row r="885">
      <c r="H885" s="12"/>
      <c r="P885" s="12"/>
    </row>
    <row r="886">
      <c r="H886" s="12"/>
      <c r="P886" s="12"/>
    </row>
    <row r="887">
      <c r="H887" s="12"/>
      <c r="P887" s="12"/>
    </row>
    <row r="888">
      <c r="H888" s="12"/>
      <c r="P888" s="12"/>
    </row>
    <row r="889">
      <c r="H889" s="12"/>
      <c r="P889" s="12"/>
    </row>
    <row r="890">
      <c r="H890" s="12"/>
      <c r="P890" s="12"/>
    </row>
    <row r="891">
      <c r="H891" s="12"/>
      <c r="P891" s="12"/>
    </row>
    <row r="892">
      <c r="H892" s="12"/>
      <c r="P892" s="12"/>
    </row>
    <row r="893">
      <c r="H893" s="12"/>
      <c r="P893" s="12"/>
    </row>
    <row r="894">
      <c r="H894" s="12"/>
      <c r="P894" s="12"/>
    </row>
    <row r="895">
      <c r="H895" s="12"/>
      <c r="P895" s="12"/>
    </row>
    <row r="896">
      <c r="H896" s="12"/>
      <c r="P896" s="12"/>
    </row>
    <row r="897">
      <c r="H897" s="12"/>
      <c r="P897" s="12"/>
    </row>
    <row r="898">
      <c r="H898" s="12"/>
      <c r="P898" s="12"/>
    </row>
    <row r="899">
      <c r="H899" s="12"/>
      <c r="P899" s="12"/>
    </row>
    <row r="900">
      <c r="H900" s="12"/>
      <c r="P900" s="12"/>
    </row>
    <row r="901">
      <c r="H901" s="12"/>
      <c r="P901" s="12"/>
    </row>
    <row r="902">
      <c r="H902" s="12"/>
      <c r="P902" s="12"/>
    </row>
    <row r="903">
      <c r="H903" s="12"/>
      <c r="P903" s="12"/>
    </row>
    <row r="904">
      <c r="H904" s="12"/>
      <c r="P904" s="12"/>
    </row>
    <row r="905">
      <c r="H905" s="12"/>
      <c r="P905" s="12"/>
    </row>
    <row r="906">
      <c r="H906" s="12"/>
      <c r="P906" s="12"/>
    </row>
    <row r="907">
      <c r="H907" s="12"/>
      <c r="P907" s="12"/>
    </row>
    <row r="908">
      <c r="H908" s="12"/>
      <c r="P908" s="12"/>
    </row>
    <row r="909">
      <c r="H909" s="12"/>
      <c r="P909" s="12"/>
    </row>
    <row r="910">
      <c r="H910" s="12"/>
      <c r="P910" s="12"/>
    </row>
    <row r="911">
      <c r="H911" s="12"/>
      <c r="P911" s="12"/>
    </row>
    <row r="912">
      <c r="H912" s="12"/>
      <c r="P912" s="12"/>
    </row>
    <row r="913">
      <c r="H913" s="12"/>
      <c r="P913" s="12"/>
    </row>
    <row r="914">
      <c r="H914" s="12"/>
      <c r="P914" s="12"/>
    </row>
    <row r="915">
      <c r="H915" s="12"/>
      <c r="P915" s="12"/>
    </row>
    <row r="916">
      <c r="H916" s="12"/>
      <c r="P916" s="12"/>
    </row>
    <row r="917">
      <c r="H917" s="12"/>
      <c r="P917" s="12"/>
    </row>
    <row r="918">
      <c r="H918" s="12"/>
      <c r="P918" s="12"/>
    </row>
    <row r="919">
      <c r="H919" s="12"/>
      <c r="P919" s="12"/>
    </row>
    <row r="920">
      <c r="H920" s="12"/>
      <c r="P920" s="12"/>
    </row>
    <row r="921">
      <c r="H921" s="12"/>
      <c r="P921" s="12"/>
    </row>
    <row r="922">
      <c r="H922" s="12"/>
      <c r="P922" s="12"/>
    </row>
    <row r="923">
      <c r="H923" s="12"/>
      <c r="P923" s="12"/>
    </row>
    <row r="924">
      <c r="H924" s="12"/>
      <c r="P924" s="12"/>
    </row>
    <row r="925">
      <c r="H925" s="12"/>
      <c r="P925" s="12"/>
    </row>
    <row r="926">
      <c r="H926" s="12"/>
      <c r="P926" s="12"/>
    </row>
    <row r="927">
      <c r="H927" s="12"/>
      <c r="P927" s="12"/>
    </row>
    <row r="928">
      <c r="H928" s="12"/>
      <c r="P928" s="12"/>
    </row>
    <row r="929">
      <c r="H929" s="12"/>
      <c r="P929" s="12"/>
    </row>
    <row r="930">
      <c r="H930" s="12"/>
      <c r="P930" s="12"/>
    </row>
    <row r="931">
      <c r="H931" s="12"/>
      <c r="P931" s="12"/>
    </row>
    <row r="932">
      <c r="H932" s="12"/>
      <c r="P932" s="12"/>
    </row>
    <row r="933">
      <c r="H933" s="12"/>
      <c r="P933" s="12"/>
    </row>
    <row r="934">
      <c r="H934" s="12"/>
      <c r="P934" s="12"/>
    </row>
    <row r="935">
      <c r="H935" s="12"/>
      <c r="P935" s="12"/>
    </row>
    <row r="936">
      <c r="H936" s="12"/>
      <c r="P936" s="12"/>
    </row>
    <row r="937">
      <c r="H937" s="12"/>
      <c r="P937" s="12"/>
    </row>
    <row r="938">
      <c r="H938" s="12"/>
      <c r="P938" s="12"/>
    </row>
    <row r="939">
      <c r="H939" s="12"/>
      <c r="P939" s="12"/>
    </row>
    <row r="940">
      <c r="H940" s="12"/>
      <c r="P940" s="12"/>
    </row>
    <row r="941">
      <c r="H941" s="12"/>
      <c r="P941" s="12"/>
    </row>
    <row r="942">
      <c r="H942" s="12"/>
      <c r="P942" s="12"/>
    </row>
    <row r="943">
      <c r="H943" s="12"/>
      <c r="P943" s="12"/>
    </row>
    <row r="944">
      <c r="H944" s="12"/>
      <c r="P944" s="12"/>
    </row>
    <row r="945">
      <c r="H945" s="12"/>
      <c r="P945" s="12"/>
    </row>
    <row r="946">
      <c r="H946" s="12"/>
      <c r="P946" s="12"/>
    </row>
    <row r="947">
      <c r="H947" s="12"/>
      <c r="P947" s="12"/>
    </row>
    <row r="948">
      <c r="H948" s="12"/>
      <c r="P948" s="12"/>
    </row>
    <row r="949">
      <c r="H949" s="12"/>
      <c r="P949" s="12"/>
    </row>
    <row r="950">
      <c r="H950" s="12"/>
      <c r="P950" s="12"/>
    </row>
    <row r="951">
      <c r="H951" s="12"/>
      <c r="P951" s="12"/>
    </row>
    <row r="952">
      <c r="H952" s="12"/>
      <c r="P952" s="12"/>
    </row>
    <row r="953">
      <c r="H953" s="12"/>
      <c r="P953" s="12"/>
    </row>
    <row r="954">
      <c r="H954" s="12"/>
      <c r="P954" s="12"/>
    </row>
    <row r="955">
      <c r="H955" s="12"/>
      <c r="P955" s="12"/>
    </row>
    <row r="956">
      <c r="H956" s="12"/>
      <c r="P956" s="12"/>
    </row>
    <row r="957">
      <c r="H957" s="12"/>
      <c r="P957" s="12"/>
    </row>
    <row r="958">
      <c r="H958" s="12"/>
      <c r="P958" s="12"/>
    </row>
    <row r="959">
      <c r="H959" s="12"/>
      <c r="P959" s="12"/>
    </row>
    <row r="960">
      <c r="H960" s="12"/>
      <c r="P960" s="12"/>
    </row>
    <row r="961">
      <c r="H961" s="12"/>
      <c r="P961" s="12"/>
    </row>
    <row r="962">
      <c r="H962" s="12"/>
      <c r="P962" s="12"/>
    </row>
    <row r="963">
      <c r="H963" s="12"/>
      <c r="P963" s="12"/>
    </row>
    <row r="964">
      <c r="H964" s="12"/>
      <c r="P964" s="12"/>
    </row>
    <row r="965">
      <c r="H965" s="12"/>
      <c r="P965" s="12"/>
    </row>
    <row r="966">
      <c r="H966" s="12"/>
      <c r="P966" s="12"/>
    </row>
    <row r="967">
      <c r="H967" s="12"/>
      <c r="P967" s="12"/>
    </row>
    <row r="968">
      <c r="H968" s="12"/>
      <c r="P968" s="12"/>
    </row>
    <row r="969">
      <c r="H969" s="12"/>
      <c r="P969" s="12"/>
    </row>
    <row r="970">
      <c r="H970" s="12"/>
      <c r="P970" s="12"/>
    </row>
    <row r="971">
      <c r="H971" s="12"/>
      <c r="P971" s="12"/>
    </row>
    <row r="972">
      <c r="H972" s="12"/>
      <c r="P972" s="12"/>
    </row>
    <row r="973">
      <c r="H973" s="12"/>
      <c r="P973" s="12"/>
    </row>
    <row r="974">
      <c r="H974" s="12"/>
      <c r="P974" s="12"/>
    </row>
    <row r="975">
      <c r="H975" s="12"/>
      <c r="P975" s="12"/>
    </row>
    <row r="976">
      <c r="H976" s="12"/>
      <c r="P976" s="12"/>
    </row>
    <row r="977">
      <c r="H977" s="12"/>
      <c r="P977" s="12"/>
    </row>
    <row r="978">
      <c r="H978" s="12"/>
      <c r="P978" s="12"/>
    </row>
    <row r="979">
      <c r="H979" s="12"/>
      <c r="P979" s="12"/>
    </row>
    <row r="980">
      <c r="H980" s="12"/>
      <c r="P980" s="12"/>
    </row>
    <row r="981">
      <c r="H981" s="12"/>
      <c r="P981" s="12"/>
    </row>
    <row r="982">
      <c r="H982" s="12"/>
      <c r="P982" s="12"/>
    </row>
    <row r="983">
      <c r="H983" s="12"/>
      <c r="P983" s="12"/>
    </row>
    <row r="984">
      <c r="H984" s="12"/>
      <c r="P984" s="12"/>
    </row>
    <row r="985">
      <c r="H985" s="12"/>
      <c r="P985" s="12"/>
    </row>
    <row r="986">
      <c r="H986" s="12"/>
      <c r="P986" s="12"/>
    </row>
    <row r="987">
      <c r="H987" s="12"/>
      <c r="P987" s="12"/>
    </row>
    <row r="988">
      <c r="H988" s="12"/>
      <c r="P988" s="12"/>
    </row>
    <row r="989">
      <c r="H989" s="12"/>
      <c r="P989" s="12"/>
    </row>
    <row r="990">
      <c r="H990" s="12"/>
      <c r="P990" s="12"/>
    </row>
    <row r="991">
      <c r="H991" s="12"/>
      <c r="P991" s="12"/>
    </row>
    <row r="992">
      <c r="H992" s="12"/>
      <c r="P992" s="12"/>
    </row>
    <row r="993">
      <c r="H993" s="12"/>
      <c r="P993" s="12"/>
    </row>
    <row r="994">
      <c r="H994" s="12"/>
      <c r="P994" s="12"/>
    </row>
    <row r="995">
      <c r="H995" s="12"/>
      <c r="P995" s="12"/>
    </row>
    <row r="996">
      <c r="H996" s="12"/>
      <c r="P996" s="12"/>
    </row>
    <row r="997">
      <c r="H997" s="12"/>
      <c r="P997" s="12"/>
    </row>
    <row r="998">
      <c r="H998" s="12"/>
      <c r="P998" s="12"/>
    </row>
    <row r="999">
      <c r="H999" s="12"/>
      <c r="P999" s="12"/>
    </row>
    <row r="1000">
      <c r="H1000" s="12"/>
      <c r="P1000" s="1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2.63"/>
  </cols>
  <sheetData>
    <row r="1">
      <c r="A1" s="45" t="s">
        <v>0</v>
      </c>
      <c r="B1" s="46" t="s">
        <v>1</v>
      </c>
      <c r="C1" s="47" t="s">
        <v>2</v>
      </c>
      <c r="D1" s="47" t="s">
        <v>3</v>
      </c>
      <c r="E1" s="46" t="s">
        <v>4</v>
      </c>
      <c r="F1" s="47" t="s">
        <v>5</v>
      </c>
      <c r="G1" s="47" t="s">
        <v>6</v>
      </c>
      <c r="H1" s="48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47" t="s">
        <v>12</v>
      </c>
      <c r="N1" s="47" t="s">
        <v>13</v>
      </c>
      <c r="O1" s="47" t="s">
        <v>14</v>
      </c>
      <c r="P1" s="49" t="s">
        <v>15</v>
      </c>
      <c r="Q1" s="50" t="s">
        <v>16</v>
      </c>
      <c r="R1" s="50" t="s">
        <v>17</v>
      </c>
      <c r="S1" s="50" t="s">
        <v>18</v>
      </c>
      <c r="T1" s="50" t="s">
        <v>19</v>
      </c>
      <c r="U1" s="51" t="s">
        <v>20</v>
      </c>
      <c r="V1" s="51" t="s">
        <v>21</v>
      </c>
      <c r="W1" s="49" t="s">
        <v>80</v>
      </c>
    </row>
    <row r="2">
      <c r="A2" s="45" t="s">
        <v>185</v>
      </c>
      <c r="B2" s="46" t="s">
        <v>37</v>
      </c>
      <c r="C2" s="46"/>
      <c r="D2" s="46"/>
      <c r="E2" s="46">
        <v>12.0</v>
      </c>
      <c r="F2" s="46">
        <v>75.0</v>
      </c>
      <c r="G2" s="46">
        <v>1101.0</v>
      </c>
      <c r="H2" s="52">
        <f t="shared" ref="H2:H47" si="1">G2/E2</f>
        <v>91.75</v>
      </c>
      <c r="I2" s="46">
        <v>14.7</v>
      </c>
      <c r="J2" s="46">
        <v>10.0</v>
      </c>
      <c r="K2" s="46">
        <v>1.0</v>
      </c>
      <c r="L2" s="46">
        <v>1.0</v>
      </c>
      <c r="M2" s="46">
        <v>1.0</v>
      </c>
      <c r="N2" s="46">
        <v>0.0</v>
      </c>
      <c r="O2" s="46">
        <v>2.0</v>
      </c>
      <c r="P2" s="6">
        <f t="shared" ref="P2:P47" si="2">(F2*0.5+G2/10+J2*6+L2/10+N2*6-O2*2)/E2</f>
        <v>16.975</v>
      </c>
      <c r="Q2" s="53">
        <v>37.0</v>
      </c>
      <c r="R2" s="53">
        <v>45.0</v>
      </c>
      <c r="S2" s="53">
        <v>42.0</v>
      </c>
      <c r="T2" s="51"/>
      <c r="U2" s="51">
        <v>21.7</v>
      </c>
      <c r="V2" s="51">
        <v>74.0</v>
      </c>
      <c r="W2" s="23">
        <v>18.1</v>
      </c>
    </row>
    <row r="3">
      <c r="A3" s="45" t="s">
        <v>186</v>
      </c>
      <c r="B3" s="46" t="s">
        <v>135</v>
      </c>
      <c r="C3" s="46"/>
      <c r="D3" s="46"/>
      <c r="E3" s="46">
        <v>11.0</v>
      </c>
      <c r="F3" s="46">
        <v>51.0</v>
      </c>
      <c r="G3" s="46">
        <v>875.0</v>
      </c>
      <c r="H3" s="52">
        <f t="shared" si="1"/>
        <v>79.54545455</v>
      </c>
      <c r="I3" s="46">
        <v>17.2</v>
      </c>
      <c r="J3" s="46">
        <v>9.0</v>
      </c>
      <c r="K3" s="46">
        <v>2.0</v>
      </c>
      <c r="L3" s="46">
        <v>16.0</v>
      </c>
      <c r="M3" s="46">
        <v>8.0</v>
      </c>
      <c r="N3" s="46">
        <v>0.0</v>
      </c>
      <c r="O3" s="46">
        <v>0.0</v>
      </c>
      <c r="P3" s="6">
        <f t="shared" si="2"/>
        <v>15.32727273</v>
      </c>
      <c r="Q3" s="53">
        <v>21.0</v>
      </c>
      <c r="R3" s="53">
        <v>35.0</v>
      </c>
      <c r="S3" s="53">
        <v>32.0</v>
      </c>
      <c r="T3" s="51"/>
      <c r="U3" s="51">
        <v>21.2</v>
      </c>
      <c r="V3" s="51">
        <v>74.0</v>
      </c>
      <c r="W3" s="23">
        <v>20.6</v>
      </c>
    </row>
    <row r="4">
      <c r="A4" s="45" t="s">
        <v>187</v>
      </c>
      <c r="B4" s="46" t="s">
        <v>43</v>
      </c>
      <c r="C4" s="46"/>
      <c r="D4" s="46"/>
      <c r="E4" s="46">
        <v>12.0</v>
      </c>
      <c r="F4" s="46">
        <v>79.0</v>
      </c>
      <c r="G4" s="46">
        <v>1156.0</v>
      </c>
      <c r="H4" s="52">
        <f t="shared" si="1"/>
        <v>96.33333333</v>
      </c>
      <c r="I4" s="46">
        <v>14.6</v>
      </c>
      <c r="J4" s="46">
        <v>11.0</v>
      </c>
      <c r="K4" s="46">
        <v>9.0</v>
      </c>
      <c r="L4" s="46">
        <v>4.0</v>
      </c>
      <c r="M4" s="46">
        <v>0.4</v>
      </c>
      <c r="N4" s="46">
        <v>2.0</v>
      </c>
      <c r="O4" s="46">
        <v>1.0</v>
      </c>
      <c r="P4" s="6">
        <f t="shared" si="2"/>
        <v>19.29166667</v>
      </c>
      <c r="Q4" s="53">
        <v>31.0</v>
      </c>
      <c r="R4" s="53">
        <v>46.0</v>
      </c>
      <c r="S4" s="53">
        <v>39.0</v>
      </c>
      <c r="T4" s="51"/>
      <c r="U4" s="51">
        <v>21.8</v>
      </c>
      <c r="V4" s="51">
        <v>71.0</v>
      </c>
      <c r="W4" s="23">
        <v>21.3</v>
      </c>
    </row>
    <row r="5">
      <c r="A5" s="45" t="s">
        <v>188</v>
      </c>
      <c r="B5" s="46" t="s">
        <v>259</v>
      </c>
      <c r="C5" s="46"/>
      <c r="D5" s="46"/>
      <c r="E5" s="46">
        <v>13.0</v>
      </c>
      <c r="F5" s="46">
        <v>71.0</v>
      </c>
      <c r="G5" s="46">
        <v>839.0</v>
      </c>
      <c r="H5" s="52">
        <f t="shared" si="1"/>
        <v>64.53846154</v>
      </c>
      <c r="I5" s="46">
        <v>11.8</v>
      </c>
      <c r="J5" s="46">
        <v>10.0</v>
      </c>
      <c r="K5" s="46">
        <v>41.0</v>
      </c>
      <c r="L5" s="46">
        <v>320.0</v>
      </c>
      <c r="M5" s="46">
        <v>7.8</v>
      </c>
      <c r="N5" s="46">
        <v>0.0</v>
      </c>
      <c r="O5" s="46">
        <v>0.0</v>
      </c>
      <c r="P5" s="6">
        <f t="shared" si="2"/>
        <v>16.26153846</v>
      </c>
      <c r="Q5" s="53">
        <v>32.0</v>
      </c>
      <c r="R5" s="53">
        <v>53.0</v>
      </c>
      <c r="S5" s="53">
        <v>42.0</v>
      </c>
      <c r="T5" s="51"/>
      <c r="U5" s="51">
        <v>21.4</v>
      </c>
      <c r="V5" s="51">
        <v>72.0</v>
      </c>
      <c r="W5" s="23">
        <v>18.8</v>
      </c>
    </row>
    <row r="6">
      <c r="A6" s="45" t="s">
        <v>189</v>
      </c>
      <c r="B6" s="46" t="s">
        <v>234</v>
      </c>
      <c r="C6" s="46"/>
      <c r="D6" s="46"/>
      <c r="E6" s="46">
        <v>11.0</v>
      </c>
      <c r="F6" s="46">
        <v>62.0</v>
      </c>
      <c r="G6" s="46">
        <v>881.0</v>
      </c>
      <c r="H6" s="52">
        <f t="shared" si="1"/>
        <v>80.09090909</v>
      </c>
      <c r="I6" s="46">
        <v>14.2</v>
      </c>
      <c r="J6" s="46">
        <v>11.0</v>
      </c>
      <c r="K6" s="46">
        <v>0.0</v>
      </c>
      <c r="L6" s="46">
        <v>0.0</v>
      </c>
      <c r="M6" s="46">
        <v>0.0</v>
      </c>
      <c r="N6" s="46">
        <v>0.0</v>
      </c>
      <c r="O6" s="46">
        <v>1.0</v>
      </c>
      <c r="P6" s="6">
        <f t="shared" si="2"/>
        <v>16.64545455</v>
      </c>
      <c r="Q6" s="53">
        <v>29.0</v>
      </c>
      <c r="R6" s="53">
        <v>50.0</v>
      </c>
      <c r="S6" s="53">
        <v>41.0</v>
      </c>
      <c r="T6" s="51"/>
      <c r="U6" s="51">
        <v>22.3</v>
      </c>
      <c r="V6" s="51">
        <v>76.0</v>
      </c>
      <c r="W6" s="23">
        <v>20.8</v>
      </c>
    </row>
    <row r="7">
      <c r="A7" s="45" t="s">
        <v>190</v>
      </c>
      <c r="B7" s="46" t="s">
        <v>329</v>
      </c>
      <c r="C7" s="46"/>
      <c r="D7" s="46"/>
      <c r="E7" s="46">
        <v>15.0</v>
      </c>
      <c r="F7" s="46">
        <v>70.0</v>
      </c>
      <c r="G7" s="46">
        <v>961.0</v>
      </c>
      <c r="H7" s="52">
        <f t="shared" si="1"/>
        <v>64.06666667</v>
      </c>
      <c r="I7" s="46">
        <v>13.7</v>
      </c>
      <c r="J7" s="46">
        <v>13.0</v>
      </c>
      <c r="K7" s="46">
        <v>3.0</v>
      </c>
      <c r="L7" s="46">
        <v>74.0</v>
      </c>
      <c r="M7" s="46">
        <v>24.7</v>
      </c>
      <c r="N7" s="46">
        <v>1.0</v>
      </c>
      <c r="O7" s="46">
        <v>0.0</v>
      </c>
      <c r="P7" s="6">
        <f t="shared" si="2"/>
        <v>14.83333333</v>
      </c>
      <c r="Q7" s="53">
        <v>26.0</v>
      </c>
      <c r="R7" s="53">
        <v>30.0</v>
      </c>
      <c r="S7" s="53">
        <v>28.0</v>
      </c>
      <c r="T7" s="51"/>
      <c r="U7" s="51">
        <v>22.3</v>
      </c>
      <c r="V7" s="51">
        <v>72.0</v>
      </c>
      <c r="W7" s="23">
        <v>20.7</v>
      </c>
    </row>
    <row r="8">
      <c r="A8" s="45" t="s">
        <v>191</v>
      </c>
      <c r="B8" s="46" t="s">
        <v>329</v>
      </c>
      <c r="C8" s="46"/>
      <c r="D8" s="46"/>
      <c r="E8" s="46">
        <v>13.0</v>
      </c>
      <c r="F8" s="46">
        <v>64.0</v>
      </c>
      <c r="G8" s="46">
        <v>806.0</v>
      </c>
      <c r="H8" s="52">
        <f t="shared" si="1"/>
        <v>62</v>
      </c>
      <c r="I8" s="46">
        <v>12.6</v>
      </c>
      <c r="J8" s="46">
        <v>15.0</v>
      </c>
      <c r="K8" s="46">
        <v>0.0</v>
      </c>
      <c r="L8" s="46">
        <v>0.0</v>
      </c>
      <c r="M8" s="46">
        <v>0.0</v>
      </c>
      <c r="N8" s="46">
        <v>0.0</v>
      </c>
      <c r="O8" s="46">
        <v>0.0</v>
      </c>
      <c r="P8" s="6">
        <f t="shared" si="2"/>
        <v>15.58461538</v>
      </c>
      <c r="Q8" s="53">
        <v>27.0</v>
      </c>
      <c r="R8" s="53">
        <v>40.0</v>
      </c>
      <c r="S8" s="53">
        <v>33.0</v>
      </c>
      <c r="T8" s="51"/>
      <c r="U8" s="51">
        <v>22.9</v>
      </c>
      <c r="V8" s="51">
        <v>75.0</v>
      </c>
      <c r="W8" s="23">
        <v>20.3</v>
      </c>
    </row>
    <row r="9">
      <c r="A9" s="45" t="s">
        <v>192</v>
      </c>
      <c r="B9" s="46" t="s">
        <v>23</v>
      </c>
      <c r="C9" s="46"/>
      <c r="D9" s="46"/>
      <c r="E9" s="46">
        <v>15.0</v>
      </c>
      <c r="F9" s="46">
        <v>64.0</v>
      </c>
      <c r="G9" s="46">
        <v>862.0</v>
      </c>
      <c r="H9" s="52">
        <f t="shared" si="1"/>
        <v>57.46666667</v>
      </c>
      <c r="I9" s="46">
        <v>13.5</v>
      </c>
      <c r="J9" s="46">
        <v>7.0</v>
      </c>
      <c r="K9" s="46">
        <v>18.0</v>
      </c>
      <c r="L9" s="46">
        <v>101.0</v>
      </c>
      <c r="M9" s="46">
        <v>5.6</v>
      </c>
      <c r="N9" s="46">
        <v>2.0</v>
      </c>
      <c r="O9" s="46">
        <v>0.0</v>
      </c>
      <c r="P9" s="6">
        <f t="shared" si="2"/>
        <v>12.15333333</v>
      </c>
      <c r="Q9" s="53">
        <v>19.0</v>
      </c>
      <c r="R9" s="53">
        <v>22.0</v>
      </c>
      <c r="S9" s="53">
        <v>21.0</v>
      </c>
      <c r="T9" s="51"/>
      <c r="U9" s="51">
        <v>22.4</v>
      </c>
      <c r="V9" s="51">
        <v>73.0</v>
      </c>
      <c r="W9" s="23">
        <v>21.8</v>
      </c>
    </row>
    <row r="10">
      <c r="A10" s="45" t="s">
        <v>193</v>
      </c>
      <c r="B10" s="46" t="s">
        <v>101</v>
      </c>
      <c r="C10" s="46"/>
      <c r="D10" s="46"/>
      <c r="E10" s="46">
        <v>12.0</v>
      </c>
      <c r="F10" s="46">
        <v>62.0</v>
      </c>
      <c r="G10" s="46">
        <v>1017.0</v>
      </c>
      <c r="H10" s="52">
        <f t="shared" si="1"/>
        <v>84.75</v>
      </c>
      <c r="I10" s="46">
        <v>16.4</v>
      </c>
      <c r="J10" s="46">
        <v>9.0</v>
      </c>
      <c r="K10" s="46">
        <v>0.0</v>
      </c>
      <c r="L10" s="46">
        <v>0.0</v>
      </c>
      <c r="M10" s="46">
        <v>0.0</v>
      </c>
      <c r="N10" s="46">
        <v>0.0</v>
      </c>
      <c r="O10" s="46">
        <v>0.0</v>
      </c>
      <c r="P10" s="6">
        <f t="shared" si="2"/>
        <v>15.55833333</v>
      </c>
      <c r="Q10" s="53">
        <v>23.0</v>
      </c>
      <c r="R10" s="53">
        <v>38.0</v>
      </c>
      <c r="S10" s="53">
        <v>33.0</v>
      </c>
      <c r="T10" s="51"/>
      <c r="U10" s="51">
        <v>22.5</v>
      </c>
      <c r="V10" s="51">
        <v>76.0</v>
      </c>
      <c r="W10" s="23">
        <v>20.0</v>
      </c>
    </row>
    <row r="11">
      <c r="A11" s="45" t="s">
        <v>194</v>
      </c>
      <c r="B11" s="46" t="s">
        <v>97</v>
      </c>
      <c r="C11" s="46"/>
      <c r="D11" s="46"/>
      <c r="E11" s="46">
        <v>11.0</v>
      </c>
      <c r="F11" s="46">
        <v>72.0</v>
      </c>
      <c r="G11" s="46">
        <v>917.0</v>
      </c>
      <c r="H11" s="52">
        <f t="shared" si="1"/>
        <v>83.36363636</v>
      </c>
      <c r="I11" s="46">
        <v>12.7</v>
      </c>
      <c r="J11" s="46">
        <v>6.0</v>
      </c>
      <c r="K11" s="46">
        <v>0.0</v>
      </c>
      <c r="L11" s="46">
        <v>0.0</v>
      </c>
      <c r="M11" s="46">
        <v>0.0</v>
      </c>
      <c r="N11" s="46">
        <v>0.0</v>
      </c>
      <c r="O11" s="46">
        <v>0.0</v>
      </c>
      <c r="P11" s="6">
        <f t="shared" si="2"/>
        <v>14.88181818</v>
      </c>
      <c r="Q11" s="53">
        <v>32.0</v>
      </c>
      <c r="R11" s="53">
        <v>39.0</v>
      </c>
      <c r="S11" s="53">
        <v>38.0</v>
      </c>
      <c r="T11" s="51"/>
      <c r="U11" s="51">
        <v>23.2</v>
      </c>
      <c r="V11" s="51">
        <v>74.0</v>
      </c>
      <c r="W11" s="23">
        <v>22.6</v>
      </c>
    </row>
    <row r="12">
      <c r="A12" s="45" t="s">
        <v>195</v>
      </c>
      <c r="B12" s="46" t="s">
        <v>43</v>
      </c>
      <c r="C12" s="46"/>
      <c r="D12" s="46"/>
      <c r="E12" s="46">
        <v>12.0</v>
      </c>
      <c r="F12" s="46">
        <v>43.0</v>
      </c>
      <c r="G12" s="46">
        <v>525.0</v>
      </c>
      <c r="H12" s="52">
        <f t="shared" si="1"/>
        <v>43.75</v>
      </c>
      <c r="I12" s="46">
        <v>12.2</v>
      </c>
      <c r="J12" s="46">
        <v>12.0</v>
      </c>
      <c r="K12" s="46">
        <v>0.0</v>
      </c>
      <c r="L12" s="46">
        <v>0.0</v>
      </c>
      <c r="M12" s="46">
        <v>0.0</v>
      </c>
      <c r="N12" s="46">
        <v>0.0</v>
      </c>
      <c r="O12" s="46">
        <v>0.0</v>
      </c>
      <c r="P12" s="6">
        <f t="shared" si="2"/>
        <v>12.16666667</v>
      </c>
      <c r="Q12" s="53">
        <v>14.0</v>
      </c>
      <c r="R12" s="53">
        <v>45.0</v>
      </c>
      <c r="S12" s="53">
        <v>29.0</v>
      </c>
      <c r="T12" s="51"/>
      <c r="U12" s="51">
        <v>21.7</v>
      </c>
      <c r="V12" s="51">
        <v>76.0</v>
      </c>
      <c r="W12" s="23">
        <v>20.1</v>
      </c>
    </row>
    <row r="13">
      <c r="A13" s="45" t="s">
        <v>196</v>
      </c>
      <c r="B13" s="46" t="s">
        <v>51</v>
      </c>
      <c r="C13" s="46"/>
      <c r="D13" s="46"/>
      <c r="E13" s="46">
        <v>12.0</v>
      </c>
      <c r="F13" s="46">
        <v>36.0</v>
      </c>
      <c r="G13" s="46">
        <v>630.0</v>
      </c>
      <c r="H13" s="52">
        <f t="shared" si="1"/>
        <v>52.5</v>
      </c>
      <c r="I13" s="46">
        <v>17.5</v>
      </c>
      <c r="J13" s="46">
        <v>5.0</v>
      </c>
      <c r="K13" s="46">
        <v>0.0</v>
      </c>
      <c r="L13" s="46">
        <v>0.0</v>
      </c>
      <c r="M13" s="46">
        <v>0.0</v>
      </c>
      <c r="N13" s="46">
        <v>0.0</v>
      </c>
      <c r="O13" s="46">
        <v>1.0</v>
      </c>
      <c r="P13" s="6">
        <f t="shared" si="2"/>
        <v>9.083333333</v>
      </c>
      <c r="Q13" s="53">
        <v>17.0</v>
      </c>
      <c r="R13" s="53">
        <v>20.0</v>
      </c>
      <c r="S13" s="53">
        <v>20.0</v>
      </c>
      <c r="T13" s="51"/>
      <c r="U13" s="51">
        <v>23.8</v>
      </c>
      <c r="V13" s="51">
        <v>77.0</v>
      </c>
      <c r="W13" s="23">
        <v>20.2</v>
      </c>
    </row>
    <row r="14">
      <c r="A14" s="45" t="s">
        <v>197</v>
      </c>
      <c r="B14" s="46" t="s">
        <v>150</v>
      </c>
      <c r="C14" s="46"/>
      <c r="D14" s="46"/>
      <c r="E14" s="46">
        <v>14.0</v>
      </c>
      <c r="F14" s="46">
        <v>81.0</v>
      </c>
      <c r="G14" s="46">
        <v>811.0</v>
      </c>
      <c r="H14" s="52">
        <f t="shared" si="1"/>
        <v>57.92857143</v>
      </c>
      <c r="I14" s="46">
        <v>10.0</v>
      </c>
      <c r="J14" s="46">
        <v>6.0</v>
      </c>
      <c r="K14" s="46">
        <v>4.0</v>
      </c>
      <c r="L14" s="46">
        <v>7.0</v>
      </c>
      <c r="M14" s="46">
        <v>1.8</v>
      </c>
      <c r="N14" s="46">
        <v>0.0</v>
      </c>
      <c r="O14" s="46">
        <v>0.0</v>
      </c>
      <c r="P14" s="6">
        <f t="shared" si="2"/>
        <v>11.30714286</v>
      </c>
      <c r="Q14" s="53">
        <v>28.0</v>
      </c>
      <c r="R14" s="53">
        <v>24.0</v>
      </c>
      <c r="S14" s="53">
        <v>25.0</v>
      </c>
      <c r="T14" s="51"/>
      <c r="U14" s="51">
        <v>22.0</v>
      </c>
      <c r="V14" s="51">
        <v>69.0</v>
      </c>
      <c r="W14" s="23">
        <v>21.4</v>
      </c>
    </row>
    <row r="15">
      <c r="A15" s="45" t="s">
        <v>198</v>
      </c>
      <c r="B15" s="46" t="s">
        <v>40</v>
      </c>
      <c r="C15" s="46"/>
      <c r="D15" s="46"/>
      <c r="E15" s="46">
        <v>14.0</v>
      </c>
      <c r="F15" s="46">
        <v>74.0</v>
      </c>
      <c r="G15" s="46">
        <v>902.0</v>
      </c>
      <c r="H15" s="52">
        <f t="shared" si="1"/>
        <v>64.42857143</v>
      </c>
      <c r="I15" s="46">
        <v>12.2</v>
      </c>
      <c r="J15" s="46">
        <v>11.0</v>
      </c>
      <c r="K15" s="46">
        <v>7.0</v>
      </c>
      <c r="L15" s="46">
        <v>101.0</v>
      </c>
      <c r="M15" s="46">
        <v>14.4</v>
      </c>
      <c r="N15" s="46">
        <v>1.0</v>
      </c>
      <c r="O15" s="46">
        <v>1.0</v>
      </c>
      <c r="P15" s="6">
        <f t="shared" si="2"/>
        <v>14.80714286</v>
      </c>
      <c r="Q15" s="53">
        <v>22.0</v>
      </c>
      <c r="R15" s="53">
        <v>30.0</v>
      </c>
      <c r="S15" s="53">
        <v>26.0</v>
      </c>
      <c r="T15" s="51"/>
      <c r="U15" s="51">
        <v>21.7</v>
      </c>
      <c r="V15" s="51">
        <v>72.0</v>
      </c>
      <c r="W15" s="23">
        <v>19.1</v>
      </c>
    </row>
    <row r="16">
      <c r="A16" s="45" t="s">
        <v>199</v>
      </c>
      <c r="B16" s="46" t="s">
        <v>330</v>
      </c>
      <c r="C16" s="46"/>
      <c r="D16" s="46"/>
      <c r="E16" s="46">
        <v>13.0</v>
      </c>
      <c r="F16" s="46">
        <v>101.0</v>
      </c>
      <c r="G16" s="46">
        <v>1276.0</v>
      </c>
      <c r="H16" s="52">
        <f t="shared" si="1"/>
        <v>98.15384615</v>
      </c>
      <c r="I16" s="46">
        <v>12.6</v>
      </c>
      <c r="J16" s="46">
        <v>13.0</v>
      </c>
      <c r="K16" s="46">
        <v>2.0</v>
      </c>
      <c r="L16" s="46">
        <v>-2.0</v>
      </c>
      <c r="M16" s="46">
        <v>-1.0</v>
      </c>
      <c r="N16" s="46">
        <v>0.0</v>
      </c>
      <c r="O16" s="46">
        <v>1.0</v>
      </c>
      <c r="P16" s="6">
        <f t="shared" si="2"/>
        <v>19.53076923</v>
      </c>
      <c r="Q16" s="53">
        <v>33.0</v>
      </c>
      <c r="R16" s="53">
        <v>43.0</v>
      </c>
      <c r="S16" s="53">
        <v>38.0</v>
      </c>
      <c r="T16" s="51"/>
      <c r="U16" s="51">
        <v>23.8</v>
      </c>
      <c r="V16" s="51">
        <v>72.0</v>
      </c>
      <c r="W16" s="23">
        <v>20.2</v>
      </c>
    </row>
    <row r="17">
      <c r="A17" s="45" t="s">
        <v>200</v>
      </c>
      <c r="B17" s="46" t="s">
        <v>143</v>
      </c>
      <c r="C17" s="46"/>
      <c r="D17" s="46"/>
      <c r="E17" s="46">
        <v>1.0</v>
      </c>
      <c r="F17" s="46">
        <v>3.0</v>
      </c>
      <c r="G17" s="46">
        <v>32.0</v>
      </c>
      <c r="H17" s="52">
        <f t="shared" si="1"/>
        <v>32</v>
      </c>
      <c r="I17" s="46">
        <v>10.7</v>
      </c>
      <c r="J17" s="46">
        <v>0.0</v>
      </c>
      <c r="K17" s="46">
        <v>1.0</v>
      </c>
      <c r="L17" s="46">
        <v>8.0</v>
      </c>
      <c r="M17" s="46">
        <v>8.0</v>
      </c>
      <c r="N17" s="46">
        <v>0.0</v>
      </c>
      <c r="O17" s="46">
        <v>0.0</v>
      </c>
      <c r="P17" s="6">
        <f t="shared" si="2"/>
        <v>5.5</v>
      </c>
      <c r="Q17" s="53">
        <v>15.0</v>
      </c>
      <c r="R17" s="53">
        <v>0.0</v>
      </c>
      <c r="S17" s="53">
        <v>5.0</v>
      </c>
      <c r="T17" s="51"/>
      <c r="U17" s="51">
        <v>23.6</v>
      </c>
      <c r="V17" s="51">
        <v>75.0</v>
      </c>
      <c r="W17" s="49" t="s">
        <v>309</v>
      </c>
    </row>
    <row r="18">
      <c r="A18" s="45" t="s">
        <v>201</v>
      </c>
      <c r="B18" s="46" t="s">
        <v>331</v>
      </c>
      <c r="C18" s="46"/>
      <c r="D18" s="46"/>
      <c r="E18" s="46">
        <v>12.0</v>
      </c>
      <c r="F18" s="46">
        <v>56.0</v>
      </c>
      <c r="G18" s="46">
        <v>961.0</v>
      </c>
      <c r="H18" s="52">
        <f t="shared" si="1"/>
        <v>80.08333333</v>
      </c>
      <c r="I18" s="46">
        <v>17.2</v>
      </c>
      <c r="J18" s="46">
        <v>9.0</v>
      </c>
      <c r="K18" s="46">
        <v>0.0</v>
      </c>
      <c r="L18" s="46">
        <v>0.0</v>
      </c>
      <c r="M18" s="46">
        <v>0.0</v>
      </c>
      <c r="N18" s="46">
        <v>0.0</v>
      </c>
      <c r="O18" s="46">
        <v>0.0</v>
      </c>
      <c r="P18" s="6">
        <f t="shared" si="2"/>
        <v>14.84166667</v>
      </c>
      <c r="Q18" s="53">
        <v>21.0</v>
      </c>
      <c r="R18" s="53">
        <v>43.0</v>
      </c>
      <c r="S18" s="53">
        <v>37.0</v>
      </c>
      <c r="T18" s="51"/>
      <c r="U18" s="51">
        <v>21.8</v>
      </c>
      <c r="V18" s="51">
        <v>76.0</v>
      </c>
      <c r="W18" s="23">
        <v>20.2</v>
      </c>
    </row>
    <row r="19">
      <c r="A19" s="45" t="s">
        <v>202</v>
      </c>
      <c r="B19" s="46" t="s">
        <v>28</v>
      </c>
      <c r="C19" s="46"/>
      <c r="D19" s="46"/>
      <c r="E19" s="46">
        <v>13.0</v>
      </c>
      <c r="F19" s="46">
        <v>57.0</v>
      </c>
      <c r="G19" s="46">
        <v>620.0</v>
      </c>
      <c r="H19" s="52">
        <f t="shared" si="1"/>
        <v>47.69230769</v>
      </c>
      <c r="I19" s="46">
        <v>10.9</v>
      </c>
      <c r="J19" s="46">
        <v>4.0</v>
      </c>
      <c r="K19" s="46">
        <v>6.0</v>
      </c>
      <c r="L19" s="46">
        <v>-3.0</v>
      </c>
      <c r="M19" s="46">
        <v>-0.5</v>
      </c>
      <c r="N19" s="46">
        <v>0.0</v>
      </c>
      <c r="O19" s="46">
        <v>0.0</v>
      </c>
      <c r="P19" s="6">
        <f t="shared" si="2"/>
        <v>8.784615385</v>
      </c>
      <c r="Q19" s="53">
        <v>22.0</v>
      </c>
      <c r="R19" s="53">
        <v>24.0</v>
      </c>
      <c r="S19" s="53">
        <v>21.0</v>
      </c>
      <c r="T19" s="51"/>
      <c r="U19" s="51">
        <v>23.3</v>
      </c>
      <c r="V19" s="51">
        <v>70.0</v>
      </c>
      <c r="W19" s="23">
        <v>20.7</v>
      </c>
    </row>
    <row r="20">
      <c r="A20" s="45" t="s">
        <v>203</v>
      </c>
      <c r="B20" s="46" t="s">
        <v>332</v>
      </c>
      <c r="C20" s="46"/>
      <c r="D20" s="46"/>
      <c r="E20" s="46">
        <v>13.0</v>
      </c>
      <c r="F20" s="46">
        <v>57.0</v>
      </c>
      <c r="G20" s="46">
        <v>1054.0</v>
      </c>
      <c r="H20" s="52">
        <f t="shared" si="1"/>
        <v>81.07692308</v>
      </c>
      <c r="I20" s="46">
        <v>18.5</v>
      </c>
      <c r="J20" s="46">
        <v>6.0</v>
      </c>
      <c r="K20" s="46">
        <v>4.0</v>
      </c>
      <c r="L20" s="46">
        <v>14.0</v>
      </c>
      <c r="M20" s="46">
        <v>3.5</v>
      </c>
      <c r="N20" s="46">
        <v>1.0</v>
      </c>
      <c r="O20" s="46">
        <v>0.0</v>
      </c>
      <c r="P20" s="6">
        <f t="shared" si="2"/>
        <v>13.63846154</v>
      </c>
      <c r="Q20" s="53">
        <v>23.0</v>
      </c>
      <c r="R20" s="53">
        <v>30.0</v>
      </c>
      <c r="S20" s="53">
        <v>31.0</v>
      </c>
      <c r="T20" s="51"/>
      <c r="U20" s="51">
        <v>22.7</v>
      </c>
      <c r="V20" s="51">
        <v>69.0</v>
      </c>
      <c r="W20" s="23">
        <v>22.1</v>
      </c>
    </row>
    <row r="21">
      <c r="A21" s="45" t="s">
        <v>230</v>
      </c>
      <c r="B21" s="46" t="s">
        <v>152</v>
      </c>
      <c r="C21" s="46"/>
      <c r="D21" s="46"/>
      <c r="E21" s="46">
        <v>12.0</v>
      </c>
      <c r="F21" s="46">
        <v>32.0</v>
      </c>
      <c r="G21" s="46">
        <v>478.0</v>
      </c>
      <c r="H21" s="52">
        <f t="shared" si="1"/>
        <v>39.83333333</v>
      </c>
      <c r="I21" s="46">
        <v>14.9</v>
      </c>
      <c r="J21" s="46">
        <v>6.0</v>
      </c>
      <c r="K21" s="46">
        <v>0.0</v>
      </c>
      <c r="L21" s="46">
        <v>0.0</v>
      </c>
      <c r="M21" s="46">
        <v>0.0</v>
      </c>
      <c r="N21" s="46">
        <v>0.0</v>
      </c>
      <c r="O21" s="46">
        <v>0.0</v>
      </c>
      <c r="P21" s="6">
        <f t="shared" si="2"/>
        <v>8.316666667</v>
      </c>
      <c r="Q21" s="53">
        <v>15.0</v>
      </c>
      <c r="R21" s="53">
        <v>22.0</v>
      </c>
      <c r="S21" s="53">
        <v>19.0</v>
      </c>
      <c r="T21" s="51"/>
      <c r="U21" s="51">
        <v>25.1</v>
      </c>
      <c r="V21" s="51">
        <v>77.0</v>
      </c>
      <c r="W21" s="49" t="s">
        <v>309</v>
      </c>
    </row>
    <row r="22">
      <c r="A22" s="45" t="s">
        <v>216</v>
      </c>
      <c r="B22" s="46" t="s">
        <v>183</v>
      </c>
      <c r="C22" s="46"/>
      <c r="D22" s="46"/>
      <c r="E22" s="46">
        <v>12.0</v>
      </c>
      <c r="F22" s="46">
        <v>50.0</v>
      </c>
      <c r="G22" s="46">
        <v>557.0</v>
      </c>
      <c r="H22" s="52">
        <f t="shared" si="1"/>
        <v>46.41666667</v>
      </c>
      <c r="I22" s="46">
        <v>11.1</v>
      </c>
      <c r="J22" s="46">
        <v>7.0</v>
      </c>
      <c r="K22" s="46">
        <v>0.0</v>
      </c>
      <c r="L22" s="46">
        <v>0.0</v>
      </c>
      <c r="M22" s="46">
        <v>0.0</v>
      </c>
      <c r="N22" s="46">
        <v>0.0</v>
      </c>
      <c r="O22" s="46">
        <v>0.0</v>
      </c>
      <c r="P22" s="6">
        <f t="shared" si="2"/>
        <v>10.225</v>
      </c>
      <c r="Q22" s="53">
        <v>19.0</v>
      </c>
      <c r="R22" s="53">
        <v>29.0</v>
      </c>
      <c r="S22" s="53">
        <v>23.0</v>
      </c>
      <c r="T22" s="51"/>
      <c r="U22" s="51">
        <v>24.3</v>
      </c>
      <c r="V22" s="51">
        <v>74.0</v>
      </c>
      <c r="W22" s="23">
        <v>19.7</v>
      </c>
    </row>
    <row r="23">
      <c r="A23" s="45" t="s">
        <v>217</v>
      </c>
      <c r="B23" s="46" t="s">
        <v>97</v>
      </c>
      <c r="C23" s="46"/>
      <c r="D23" s="46"/>
      <c r="E23" s="46">
        <v>12.0</v>
      </c>
      <c r="F23" s="46">
        <v>91.0</v>
      </c>
      <c r="G23" s="46">
        <v>1316.0</v>
      </c>
      <c r="H23" s="52">
        <f t="shared" si="1"/>
        <v>109.6666667</v>
      </c>
      <c r="I23" s="46">
        <v>14.5</v>
      </c>
      <c r="J23" s="46">
        <v>7.0</v>
      </c>
      <c r="K23" s="46">
        <v>0.0</v>
      </c>
      <c r="L23" s="46">
        <v>0.0</v>
      </c>
      <c r="M23" s="46">
        <v>0.0</v>
      </c>
      <c r="N23" s="46">
        <v>0.0</v>
      </c>
      <c r="O23" s="46">
        <v>0.0</v>
      </c>
      <c r="P23" s="6">
        <f t="shared" si="2"/>
        <v>18.25833333</v>
      </c>
      <c r="Q23" s="53">
        <v>34.0</v>
      </c>
      <c r="R23" s="53">
        <v>27.0</v>
      </c>
      <c r="S23" s="53">
        <v>33.0</v>
      </c>
      <c r="T23" s="51"/>
      <c r="U23" s="51">
        <v>24.3</v>
      </c>
      <c r="V23" s="51">
        <v>69.0</v>
      </c>
      <c r="W23" s="23">
        <v>20.7</v>
      </c>
    </row>
    <row r="24">
      <c r="A24" s="45" t="s">
        <v>218</v>
      </c>
      <c r="B24" s="46" t="s">
        <v>107</v>
      </c>
      <c r="C24" s="46"/>
      <c r="D24" s="46"/>
      <c r="E24" s="46">
        <v>12.0</v>
      </c>
      <c r="F24" s="46">
        <v>48.0</v>
      </c>
      <c r="G24" s="46">
        <v>644.0</v>
      </c>
      <c r="H24" s="52">
        <f t="shared" si="1"/>
        <v>53.66666667</v>
      </c>
      <c r="I24" s="46">
        <v>13.4</v>
      </c>
      <c r="J24" s="46">
        <v>6.0</v>
      </c>
      <c r="K24" s="46">
        <v>3.0</v>
      </c>
      <c r="L24" s="46">
        <v>-1.0</v>
      </c>
      <c r="M24" s="46">
        <v>-0.3</v>
      </c>
      <c r="N24" s="46">
        <v>0.0</v>
      </c>
      <c r="O24" s="46">
        <v>0.0</v>
      </c>
      <c r="P24" s="6">
        <f t="shared" si="2"/>
        <v>10.35833333</v>
      </c>
      <c r="Q24" s="53">
        <v>22.0</v>
      </c>
      <c r="R24" s="53">
        <v>33.0</v>
      </c>
      <c r="S24" s="53">
        <v>29.0</v>
      </c>
      <c r="T24" s="51"/>
      <c r="U24" s="51">
        <v>23.2</v>
      </c>
      <c r="V24" s="51">
        <v>77.0</v>
      </c>
      <c r="W24" s="23">
        <v>20.6</v>
      </c>
    </row>
    <row r="25">
      <c r="A25" s="45" t="s">
        <v>219</v>
      </c>
      <c r="B25" s="46" t="s">
        <v>34</v>
      </c>
      <c r="C25" s="46"/>
      <c r="D25" s="46"/>
      <c r="E25" s="46">
        <v>4.0</v>
      </c>
      <c r="F25" s="46">
        <v>9.0</v>
      </c>
      <c r="G25" s="46">
        <v>243.0</v>
      </c>
      <c r="H25" s="52">
        <f t="shared" si="1"/>
        <v>60.75</v>
      </c>
      <c r="I25" s="46">
        <v>27.0</v>
      </c>
      <c r="J25" s="46">
        <v>3.0</v>
      </c>
      <c r="K25" s="46">
        <v>0.0</v>
      </c>
      <c r="L25" s="46">
        <v>0.0</v>
      </c>
      <c r="M25" s="46">
        <v>0.0</v>
      </c>
      <c r="N25" s="46">
        <v>0.0</v>
      </c>
      <c r="O25" s="46">
        <v>0.0</v>
      </c>
      <c r="P25" s="6">
        <f t="shared" si="2"/>
        <v>11.7</v>
      </c>
      <c r="Q25" s="53">
        <v>9.0</v>
      </c>
      <c r="R25" s="53">
        <v>34.0</v>
      </c>
      <c r="S25" s="53">
        <v>26.0</v>
      </c>
      <c r="T25" s="51"/>
      <c r="U25" s="51">
        <v>23.5</v>
      </c>
      <c r="V25" s="51">
        <v>72.0</v>
      </c>
      <c r="W25" s="23">
        <v>21.9</v>
      </c>
    </row>
    <row r="26">
      <c r="A26" s="45" t="s">
        <v>220</v>
      </c>
      <c r="B26" s="46" t="s">
        <v>54</v>
      </c>
      <c r="C26" s="46"/>
      <c r="D26" s="46"/>
      <c r="E26" s="46">
        <v>12.0</v>
      </c>
      <c r="F26" s="46">
        <v>65.0</v>
      </c>
      <c r="G26" s="46">
        <v>755.0</v>
      </c>
      <c r="H26" s="52">
        <f t="shared" si="1"/>
        <v>62.91666667</v>
      </c>
      <c r="I26" s="46">
        <v>11.6</v>
      </c>
      <c r="J26" s="46">
        <v>7.0</v>
      </c>
      <c r="K26" s="46">
        <v>2.0</v>
      </c>
      <c r="L26" s="46">
        <v>-8.0</v>
      </c>
      <c r="M26" s="46">
        <v>-4.0</v>
      </c>
      <c r="N26" s="46">
        <v>0.0</v>
      </c>
      <c r="O26" s="46">
        <v>0.0</v>
      </c>
      <c r="P26" s="6">
        <f t="shared" si="2"/>
        <v>12.43333333</v>
      </c>
      <c r="Q26" s="53">
        <v>22.0</v>
      </c>
      <c r="R26" s="53">
        <v>30.0</v>
      </c>
      <c r="S26" s="53">
        <v>26.0</v>
      </c>
      <c r="T26" s="51"/>
      <c r="U26" s="51">
        <v>23.6</v>
      </c>
      <c r="V26" s="51">
        <v>75.0</v>
      </c>
      <c r="W26" s="23">
        <v>20.0</v>
      </c>
    </row>
    <row r="27">
      <c r="A27" s="45" t="s">
        <v>204</v>
      </c>
      <c r="B27" s="46" t="s">
        <v>89</v>
      </c>
      <c r="C27" s="46"/>
      <c r="D27" s="46"/>
      <c r="E27" s="46">
        <v>11.0</v>
      </c>
      <c r="F27" s="46">
        <v>52.0</v>
      </c>
      <c r="G27" s="46">
        <v>892.0</v>
      </c>
      <c r="H27" s="52">
        <f t="shared" si="1"/>
        <v>81.09090909</v>
      </c>
      <c r="I27" s="46">
        <v>17.2</v>
      </c>
      <c r="J27" s="46">
        <v>6.0</v>
      </c>
      <c r="K27" s="46">
        <v>0.0</v>
      </c>
      <c r="L27" s="46">
        <v>0.0</v>
      </c>
      <c r="M27" s="46">
        <v>0.0</v>
      </c>
      <c r="N27" s="46">
        <v>0.0</v>
      </c>
      <c r="O27" s="46">
        <v>0.0</v>
      </c>
      <c r="P27" s="6">
        <f t="shared" si="2"/>
        <v>13.74545455</v>
      </c>
      <c r="Q27" s="53">
        <v>21.0</v>
      </c>
      <c r="R27" s="53">
        <v>30.0</v>
      </c>
      <c r="S27" s="53">
        <v>30.0</v>
      </c>
      <c r="T27" s="51"/>
      <c r="U27" s="51">
        <v>23.3</v>
      </c>
      <c r="V27" s="51">
        <v>74.0</v>
      </c>
      <c r="W27" s="23">
        <v>19.7</v>
      </c>
    </row>
    <row r="28">
      <c r="A28" s="45" t="s">
        <v>221</v>
      </c>
      <c r="B28" s="46" t="s">
        <v>89</v>
      </c>
      <c r="C28" s="46"/>
      <c r="D28" s="46"/>
      <c r="E28" s="46">
        <v>15.0</v>
      </c>
      <c r="F28" s="46">
        <v>61.0</v>
      </c>
      <c r="G28" s="46">
        <v>934.0</v>
      </c>
      <c r="H28" s="52">
        <f t="shared" si="1"/>
        <v>62.26666667</v>
      </c>
      <c r="I28" s="46">
        <v>15.3</v>
      </c>
      <c r="J28" s="46">
        <v>4.0</v>
      </c>
      <c r="K28" s="46">
        <v>3.0</v>
      </c>
      <c r="L28" s="46">
        <v>1.0</v>
      </c>
      <c r="M28" s="46">
        <v>0.3</v>
      </c>
      <c r="N28" s="46">
        <v>0.0</v>
      </c>
      <c r="O28" s="46">
        <v>1.0</v>
      </c>
      <c r="P28" s="6">
        <f t="shared" si="2"/>
        <v>9.733333333</v>
      </c>
      <c r="Q28" s="53">
        <v>18.0</v>
      </c>
      <c r="R28" s="53">
        <v>15.0</v>
      </c>
      <c r="S28" s="53">
        <v>17.0</v>
      </c>
      <c r="T28" s="51"/>
      <c r="U28" s="51">
        <v>23.0</v>
      </c>
      <c r="V28" s="51">
        <v>72.0</v>
      </c>
      <c r="W28" s="49" t="s">
        <v>309</v>
      </c>
    </row>
    <row r="29">
      <c r="A29" s="45" t="s">
        <v>222</v>
      </c>
      <c r="B29" s="46" t="s">
        <v>333</v>
      </c>
      <c r="C29" s="46"/>
      <c r="D29" s="46"/>
      <c r="E29" s="46">
        <v>10.0</v>
      </c>
      <c r="F29" s="46">
        <v>27.0</v>
      </c>
      <c r="G29" s="46">
        <v>333.0</v>
      </c>
      <c r="H29" s="52">
        <f t="shared" si="1"/>
        <v>33.3</v>
      </c>
      <c r="I29" s="46">
        <v>12.3</v>
      </c>
      <c r="J29" s="46">
        <v>1.0</v>
      </c>
      <c r="K29" s="46">
        <v>0.0</v>
      </c>
      <c r="L29" s="46">
        <v>0.0</v>
      </c>
      <c r="M29" s="46">
        <v>0.0</v>
      </c>
      <c r="N29" s="46">
        <v>0.0</v>
      </c>
      <c r="O29" s="46">
        <v>0.0</v>
      </c>
      <c r="P29" s="6">
        <f t="shared" si="2"/>
        <v>5.28</v>
      </c>
      <c r="Q29" s="53">
        <v>13.0</v>
      </c>
      <c r="R29" s="53">
        <v>10.0</v>
      </c>
      <c r="S29" s="53">
        <v>13.0</v>
      </c>
      <c r="T29" s="51"/>
      <c r="U29" s="51">
        <v>23.5</v>
      </c>
      <c r="V29" s="51">
        <v>73.0</v>
      </c>
      <c r="W29" s="49" t="s">
        <v>309</v>
      </c>
    </row>
    <row r="30">
      <c r="A30" s="45" t="s">
        <v>223</v>
      </c>
      <c r="B30" s="46" t="s">
        <v>334</v>
      </c>
      <c r="C30" s="46"/>
      <c r="D30" s="46"/>
      <c r="E30" s="46">
        <v>12.0</v>
      </c>
      <c r="F30" s="46">
        <v>62.0</v>
      </c>
      <c r="G30" s="46">
        <v>1172.0</v>
      </c>
      <c r="H30" s="52">
        <f t="shared" si="1"/>
        <v>97.66666667</v>
      </c>
      <c r="I30" s="46">
        <v>18.9</v>
      </c>
      <c r="J30" s="46">
        <v>12.0</v>
      </c>
      <c r="K30" s="46">
        <v>1.0</v>
      </c>
      <c r="L30" s="46">
        <v>-3.0</v>
      </c>
      <c r="M30" s="46">
        <v>-3.0</v>
      </c>
      <c r="N30" s="46">
        <v>0.0</v>
      </c>
      <c r="O30" s="46">
        <v>1.0</v>
      </c>
      <c r="P30" s="6">
        <f t="shared" si="2"/>
        <v>18.15833333</v>
      </c>
      <c r="Q30" s="53">
        <v>30.0</v>
      </c>
      <c r="R30" s="53">
        <v>50.0</v>
      </c>
      <c r="S30" s="53">
        <v>46.0</v>
      </c>
      <c r="T30" s="51"/>
      <c r="U30" s="51">
        <v>23.6</v>
      </c>
      <c r="V30" s="51">
        <v>70.0</v>
      </c>
      <c r="W30" s="23">
        <v>22.0</v>
      </c>
    </row>
    <row r="31">
      <c r="A31" s="45" t="s">
        <v>213</v>
      </c>
      <c r="B31" s="46" t="s">
        <v>57</v>
      </c>
      <c r="C31" s="46"/>
      <c r="D31" s="46"/>
      <c r="E31" s="46">
        <v>12.0</v>
      </c>
      <c r="F31" s="46">
        <v>69.0</v>
      </c>
      <c r="G31" s="46">
        <v>872.0</v>
      </c>
      <c r="H31" s="52">
        <f t="shared" si="1"/>
        <v>72.66666667</v>
      </c>
      <c r="I31" s="46">
        <v>12.6</v>
      </c>
      <c r="J31" s="46">
        <v>9.0</v>
      </c>
      <c r="K31" s="46">
        <v>0.0</v>
      </c>
      <c r="L31" s="46">
        <v>0.0</v>
      </c>
      <c r="M31" s="46">
        <v>0.0</v>
      </c>
      <c r="N31" s="46">
        <v>0.0</v>
      </c>
      <c r="O31" s="46">
        <v>4.0</v>
      </c>
      <c r="P31" s="6">
        <f t="shared" si="2"/>
        <v>13.975</v>
      </c>
      <c r="Q31" s="53">
        <v>22.0</v>
      </c>
      <c r="R31" s="53">
        <v>29.0</v>
      </c>
      <c r="S31" s="53">
        <v>26.0</v>
      </c>
      <c r="T31" s="51"/>
      <c r="U31" s="51">
        <v>23.1</v>
      </c>
      <c r="V31" s="51">
        <v>74.0</v>
      </c>
      <c r="W31" s="23">
        <v>21.5</v>
      </c>
    </row>
    <row r="32">
      <c r="A32" s="45" t="s">
        <v>224</v>
      </c>
      <c r="B32" s="46" t="s">
        <v>31</v>
      </c>
      <c r="C32" s="46"/>
      <c r="D32" s="46"/>
      <c r="E32" s="46">
        <v>12.0</v>
      </c>
      <c r="F32" s="46">
        <v>72.0</v>
      </c>
      <c r="G32" s="46">
        <v>1190.0</v>
      </c>
      <c r="H32" s="52">
        <f t="shared" si="1"/>
        <v>99.16666667</v>
      </c>
      <c r="I32" s="46">
        <v>16.5</v>
      </c>
      <c r="J32" s="46">
        <v>10.0</v>
      </c>
      <c r="K32" s="46">
        <v>0.0</v>
      </c>
      <c r="L32" s="46">
        <v>0.0</v>
      </c>
      <c r="M32" s="46">
        <v>0.0</v>
      </c>
      <c r="N32" s="46">
        <v>0.0</v>
      </c>
      <c r="O32" s="46">
        <v>3.0</v>
      </c>
      <c r="P32" s="6">
        <f t="shared" si="2"/>
        <v>17.41666667</v>
      </c>
      <c r="Q32" s="53">
        <v>25.0</v>
      </c>
      <c r="R32" s="53">
        <v>36.0</v>
      </c>
      <c r="S32" s="53">
        <v>35.0</v>
      </c>
      <c r="T32" s="51"/>
      <c r="U32" s="51">
        <v>23.4</v>
      </c>
      <c r="V32" s="51">
        <v>76.0</v>
      </c>
      <c r="W32" s="23">
        <v>19.8</v>
      </c>
    </row>
    <row r="33">
      <c r="A33" s="45" t="s">
        <v>225</v>
      </c>
      <c r="B33" s="46" t="s">
        <v>132</v>
      </c>
      <c r="C33" s="46"/>
      <c r="D33" s="46"/>
      <c r="E33" s="46">
        <v>13.0</v>
      </c>
      <c r="F33" s="46">
        <v>54.0</v>
      </c>
      <c r="G33" s="46">
        <v>802.0</v>
      </c>
      <c r="H33" s="52">
        <f t="shared" si="1"/>
        <v>61.69230769</v>
      </c>
      <c r="I33" s="46">
        <v>14.9</v>
      </c>
      <c r="J33" s="46">
        <v>6.0</v>
      </c>
      <c r="K33" s="46">
        <v>0.0</v>
      </c>
      <c r="L33" s="46">
        <v>0.0</v>
      </c>
      <c r="M33" s="46">
        <v>0.0</v>
      </c>
      <c r="N33" s="46">
        <v>0.0</v>
      </c>
      <c r="O33" s="46">
        <v>0.0</v>
      </c>
      <c r="P33" s="6">
        <f t="shared" si="2"/>
        <v>11.01538462</v>
      </c>
      <c r="Q33" s="53">
        <v>23.0</v>
      </c>
      <c r="R33" s="53">
        <v>43.0</v>
      </c>
      <c r="S33" s="53">
        <v>35.0</v>
      </c>
      <c r="T33" s="51"/>
      <c r="U33" s="51">
        <v>26.2</v>
      </c>
      <c r="V33" s="51">
        <v>75.0</v>
      </c>
      <c r="W33" s="23">
        <v>23.6</v>
      </c>
    </row>
    <row r="34">
      <c r="A34" s="45" t="s">
        <v>226</v>
      </c>
      <c r="B34" s="46" t="s">
        <v>160</v>
      </c>
      <c r="C34" s="46"/>
      <c r="D34" s="46"/>
      <c r="E34" s="46">
        <v>11.0</v>
      </c>
      <c r="F34" s="46">
        <v>61.0</v>
      </c>
      <c r="G34" s="46">
        <v>766.0</v>
      </c>
      <c r="H34" s="52">
        <f t="shared" si="1"/>
        <v>69.63636364</v>
      </c>
      <c r="I34" s="46">
        <v>12.6</v>
      </c>
      <c r="J34" s="46">
        <v>6.0</v>
      </c>
      <c r="K34" s="46">
        <v>1.0</v>
      </c>
      <c r="L34" s="46">
        <v>6.0</v>
      </c>
      <c r="M34" s="46">
        <v>6.0</v>
      </c>
      <c r="N34" s="46">
        <v>0.0</v>
      </c>
      <c r="O34" s="46">
        <v>1.0</v>
      </c>
      <c r="P34" s="6">
        <f t="shared" si="2"/>
        <v>12.88181818</v>
      </c>
      <c r="Q34" s="53">
        <v>24.0</v>
      </c>
      <c r="R34" s="53">
        <v>27.0</v>
      </c>
      <c r="S34" s="53">
        <v>25.0</v>
      </c>
      <c r="T34" s="51"/>
      <c r="U34" s="51">
        <v>22.4</v>
      </c>
      <c r="V34" s="51">
        <v>73.0</v>
      </c>
      <c r="W34" s="23">
        <v>21.8</v>
      </c>
    </row>
    <row r="35">
      <c r="A35" s="45" t="s">
        <v>207</v>
      </c>
      <c r="B35" s="46" t="s">
        <v>121</v>
      </c>
      <c r="C35" s="46"/>
      <c r="D35" s="46"/>
      <c r="E35" s="46">
        <v>13.0</v>
      </c>
      <c r="F35" s="46">
        <v>20.0</v>
      </c>
      <c r="G35" s="46">
        <v>151.0</v>
      </c>
      <c r="H35" s="52">
        <f t="shared" si="1"/>
        <v>11.61538462</v>
      </c>
      <c r="I35" s="46">
        <v>7.6</v>
      </c>
      <c r="J35" s="46">
        <v>1.0</v>
      </c>
      <c r="K35" s="46">
        <v>15.0</v>
      </c>
      <c r="L35" s="46">
        <v>79.0</v>
      </c>
      <c r="M35" s="46">
        <v>5.3</v>
      </c>
      <c r="N35" s="46">
        <v>2.0</v>
      </c>
      <c r="O35" s="46">
        <v>1.0</v>
      </c>
      <c r="P35" s="6">
        <f t="shared" si="2"/>
        <v>3.769230769</v>
      </c>
      <c r="Q35" s="53">
        <v>11.0</v>
      </c>
      <c r="R35" s="53">
        <v>8.0</v>
      </c>
      <c r="S35" s="53">
        <v>8.0</v>
      </c>
      <c r="T35" s="51"/>
      <c r="U35" s="51">
        <v>24.1</v>
      </c>
      <c r="V35" s="51">
        <v>69.0</v>
      </c>
      <c r="W35" s="49" t="s">
        <v>309</v>
      </c>
    </row>
    <row r="36">
      <c r="A36" s="45" t="s">
        <v>227</v>
      </c>
      <c r="B36" s="46" t="s">
        <v>34</v>
      </c>
      <c r="C36" s="46"/>
      <c r="D36" s="46"/>
      <c r="E36" s="46">
        <v>13.0</v>
      </c>
      <c r="F36" s="46">
        <v>61.0</v>
      </c>
      <c r="G36" s="46">
        <v>875.0</v>
      </c>
      <c r="H36" s="52">
        <f t="shared" si="1"/>
        <v>67.30769231</v>
      </c>
      <c r="I36" s="46">
        <v>14.3</v>
      </c>
      <c r="J36" s="46">
        <v>5.0</v>
      </c>
      <c r="K36" s="46">
        <v>0.0</v>
      </c>
      <c r="L36" s="46">
        <v>0.0</v>
      </c>
      <c r="M36" s="46">
        <v>0.0</v>
      </c>
      <c r="N36" s="46">
        <v>0.0</v>
      </c>
      <c r="O36" s="46">
        <v>1.0</v>
      </c>
      <c r="P36" s="6">
        <f t="shared" si="2"/>
        <v>11.23076923</v>
      </c>
      <c r="Q36" s="53">
        <v>18.0</v>
      </c>
      <c r="R36" s="53">
        <v>17.0</v>
      </c>
      <c r="S36" s="53">
        <v>19.0</v>
      </c>
      <c r="T36" s="51"/>
      <c r="U36" s="51">
        <v>23.4</v>
      </c>
      <c r="V36" s="51">
        <v>68.0</v>
      </c>
      <c r="W36" s="49" t="s">
        <v>309</v>
      </c>
    </row>
    <row r="37">
      <c r="A37" s="45" t="s">
        <v>210</v>
      </c>
      <c r="B37" s="46" t="s">
        <v>145</v>
      </c>
      <c r="C37" s="46"/>
      <c r="D37" s="46"/>
      <c r="E37" s="46">
        <v>12.0</v>
      </c>
      <c r="F37" s="46">
        <v>53.0</v>
      </c>
      <c r="G37" s="46">
        <v>540.0</v>
      </c>
      <c r="H37" s="52">
        <f t="shared" si="1"/>
        <v>45</v>
      </c>
      <c r="I37" s="46">
        <v>10.2</v>
      </c>
      <c r="J37" s="46">
        <v>3.0</v>
      </c>
      <c r="K37" s="46">
        <v>8.0</v>
      </c>
      <c r="L37" s="46">
        <v>53.0</v>
      </c>
      <c r="M37" s="46">
        <v>6.6</v>
      </c>
      <c r="N37" s="46">
        <v>0.0</v>
      </c>
      <c r="O37" s="46">
        <v>0.0</v>
      </c>
      <c r="P37" s="6">
        <f t="shared" si="2"/>
        <v>8.65</v>
      </c>
      <c r="Q37" s="53">
        <v>23.0</v>
      </c>
      <c r="R37" s="53">
        <v>20.0</v>
      </c>
      <c r="S37" s="53">
        <v>21.0</v>
      </c>
      <c r="T37" s="51"/>
      <c r="U37" s="51">
        <v>22.8</v>
      </c>
      <c r="V37" s="51">
        <v>71.0</v>
      </c>
      <c r="W37" s="23">
        <v>22.2</v>
      </c>
    </row>
    <row r="38">
      <c r="A38" s="45" t="s">
        <v>209</v>
      </c>
      <c r="B38" s="46" t="s">
        <v>162</v>
      </c>
      <c r="C38" s="46"/>
      <c r="D38" s="46"/>
      <c r="E38" s="46">
        <v>13.0</v>
      </c>
      <c r="F38" s="46">
        <v>41.0</v>
      </c>
      <c r="G38" s="46">
        <v>816.0</v>
      </c>
      <c r="H38" s="52">
        <f t="shared" si="1"/>
        <v>62.76923077</v>
      </c>
      <c r="I38" s="46">
        <v>19.9</v>
      </c>
      <c r="J38" s="46">
        <v>9.0</v>
      </c>
      <c r="K38" s="46">
        <v>0.0</v>
      </c>
      <c r="L38" s="46">
        <v>0.0</v>
      </c>
      <c r="M38" s="46">
        <v>0.0</v>
      </c>
      <c r="N38" s="46">
        <v>0.0</v>
      </c>
      <c r="O38" s="46">
        <v>0.0</v>
      </c>
      <c r="P38" s="6">
        <f t="shared" si="2"/>
        <v>12.00769231</v>
      </c>
      <c r="Q38" s="53">
        <v>20.0</v>
      </c>
      <c r="R38" s="53">
        <v>42.0</v>
      </c>
      <c r="S38" s="53">
        <v>35.0</v>
      </c>
      <c r="T38" s="51"/>
      <c r="U38" s="51">
        <v>21.9</v>
      </c>
      <c r="V38" s="51">
        <v>75.0</v>
      </c>
      <c r="W38" s="23">
        <v>20.3</v>
      </c>
    </row>
    <row r="39">
      <c r="A39" s="45" t="s">
        <v>205</v>
      </c>
      <c r="B39" s="46" t="s">
        <v>162</v>
      </c>
      <c r="C39" s="46"/>
      <c r="D39" s="46"/>
      <c r="E39" s="46">
        <v>13.0</v>
      </c>
      <c r="F39" s="46">
        <v>55.0</v>
      </c>
      <c r="G39" s="46">
        <v>845.0</v>
      </c>
      <c r="H39" s="52">
        <f t="shared" si="1"/>
        <v>65</v>
      </c>
      <c r="I39" s="46">
        <v>15.4</v>
      </c>
      <c r="J39" s="46">
        <v>7.0</v>
      </c>
      <c r="K39" s="46">
        <v>0.0</v>
      </c>
      <c r="L39" s="46">
        <v>0.0</v>
      </c>
      <c r="M39" s="46">
        <v>0.0</v>
      </c>
      <c r="N39" s="46">
        <v>0.0</v>
      </c>
      <c r="O39" s="46">
        <v>0.0</v>
      </c>
      <c r="P39" s="6">
        <f t="shared" si="2"/>
        <v>11.84615385</v>
      </c>
      <c r="Q39" s="53">
        <v>19.0</v>
      </c>
      <c r="R39" s="53">
        <v>23.0</v>
      </c>
      <c r="S39" s="53">
        <v>23.0</v>
      </c>
      <c r="T39" s="51"/>
      <c r="U39" s="51">
        <v>22.6</v>
      </c>
      <c r="V39" s="51">
        <v>76.0</v>
      </c>
      <c r="W39" s="23">
        <v>19.0</v>
      </c>
    </row>
    <row r="40">
      <c r="A40" s="45" t="s">
        <v>212</v>
      </c>
      <c r="B40" s="46" t="s">
        <v>34</v>
      </c>
      <c r="C40" s="46"/>
      <c r="D40" s="46"/>
      <c r="E40" s="46">
        <v>13.0</v>
      </c>
      <c r="F40" s="46">
        <v>43.0</v>
      </c>
      <c r="G40" s="46">
        <v>539.0</v>
      </c>
      <c r="H40" s="52">
        <f t="shared" si="1"/>
        <v>41.46153846</v>
      </c>
      <c r="I40" s="46">
        <v>12.5</v>
      </c>
      <c r="J40" s="46">
        <v>4.0</v>
      </c>
      <c r="K40" s="46">
        <v>12.0</v>
      </c>
      <c r="L40" s="46">
        <v>147.0</v>
      </c>
      <c r="M40" s="46">
        <v>12.2</v>
      </c>
      <c r="N40" s="46">
        <v>1.0</v>
      </c>
      <c r="O40" s="46">
        <v>0.0</v>
      </c>
      <c r="P40" s="6">
        <f t="shared" si="2"/>
        <v>9.238461538</v>
      </c>
      <c r="Q40" s="53">
        <v>20.0</v>
      </c>
      <c r="R40" s="53">
        <v>16.0</v>
      </c>
      <c r="S40" s="53">
        <v>17.0</v>
      </c>
      <c r="T40" s="51"/>
      <c r="U40" s="51">
        <v>22.3</v>
      </c>
      <c r="V40" s="51">
        <v>71.0</v>
      </c>
      <c r="W40" s="23">
        <v>18.7</v>
      </c>
    </row>
    <row r="41">
      <c r="A41" s="45" t="s">
        <v>228</v>
      </c>
      <c r="B41" s="46" t="s">
        <v>150</v>
      </c>
      <c r="C41" s="46"/>
      <c r="D41" s="46"/>
      <c r="E41" s="46">
        <v>12.0</v>
      </c>
      <c r="F41" s="46">
        <v>43.0</v>
      </c>
      <c r="G41" s="46">
        <v>466.0</v>
      </c>
      <c r="H41" s="52">
        <f t="shared" si="1"/>
        <v>38.83333333</v>
      </c>
      <c r="I41" s="46">
        <v>10.8</v>
      </c>
      <c r="J41" s="46">
        <v>4.0</v>
      </c>
      <c r="K41" s="46">
        <v>9.0</v>
      </c>
      <c r="L41" s="46">
        <v>107.0</v>
      </c>
      <c r="M41" s="46">
        <v>11.9</v>
      </c>
      <c r="N41" s="46">
        <v>1.0</v>
      </c>
      <c r="O41" s="46">
        <v>0.0</v>
      </c>
      <c r="P41" s="6">
        <f t="shared" si="2"/>
        <v>9.066666667</v>
      </c>
      <c r="Q41" s="53">
        <v>15.0</v>
      </c>
      <c r="R41" s="53">
        <v>16.0</v>
      </c>
      <c r="S41" s="53">
        <v>14.0</v>
      </c>
      <c r="T41" s="51"/>
      <c r="U41" s="51">
        <v>22.4</v>
      </c>
      <c r="V41" s="51">
        <v>73.0</v>
      </c>
      <c r="W41" s="49" t="s">
        <v>309</v>
      </c>
    </row>
    <row r="42">
      <c r="A42" s="45" t="s">
        <v>214</v>
      </c>
      <c r="B42" s="46" t="s">
        <v>335</v>
      </c>
      <c r="C42" s="46"/>
      <c r="D42" s="46"/>
      <c r="E42" s="46">
        <v>12.0</v>
      </c>
      <c r="F42" s="46">
        <v>45.0</v>
      </c>
      <c r="G42" s="46">
        <v>766.0</v>
      </c>
      <c r="H42" s="52">
        <f t="shared" si="1"/>
        <v>63.83333333</v>
      </c>
      <c r="I42" s="46">
        <v>17.0</v>
      </c>
      <c r="J42" s="46">
        <v>5.0</v>
      </c>
      <c r="K42" s="46">
        <v>4.0</v>
      </c>
      <c r="L42" s="46">
        <v>16.0</v>
      </c>
      <c r="M42" s="46">
        <v>4.0</v>
      </c>
      <c r="N42" s="46">
        <v>0.0</v>
      </c>
      <c r="O42" s="46">
        <v>0.0</v>
      </c>
      <c r="P42" s="6">
        <f t="shared" si="2"/>
        <v>10.89166667</v>
      </c>
      <c r="Q42" s="53">
        <v>21.0</v>
      </c>
      <c r="R42" s="53">
        <v>22.0</v>
      </c>
      <c r="S42" s="53">
        <v>25.0</v>
      </c>
      <c r="T42" s="51"/>
      <c r="U42" s="51">
        <v>23.1</v>
      </c>
      <c r="V42" s="51">
        <v>73.0</v>
      </c>
      <c r="W42" s="23">
        <v>22.5</v>
      </c>
    </row>
    <row r="43">
      <c r="A43" s="45" t="s">
        <v>211</v>
      </c>
      <c r="B43" s="46" t="s">
        <v>276</v>
      </c>
      <c r="C43" s="46"/>
      <c r="D43" s="46"/>
      <c r="E43" s="46">
        <v>12.0</v>
      </c>
      <c r="F43" s="46">
        <v>74.0</v>
      </c>
      <c r="G43" s="46">
        <v>932.0</v>
      </c>
      <c r="H43" s="52">
        <f t="shared" si="1"/>
        <v>77.66666667</v>
      </c>
      <c r="I43" s="46">
        <v>12.6</v>
      </c>
      <c r="J43" s="46">
        <v>6.0</v>
      </c>
      <c r="K43" s="46">
        <v>4.0</v>
      </c>
      <c r="L43" s="46">
        <v>11.0</v>
      </c>
      <c r="M43" s="46">
        <v>2.8</v>
      </c>
      <c r="N43" s="46">
        <v>0.0</v>
      </c>
      <c r="O43" s="46">
        <v>1.0</v>
      </c>
      <c r="P43" s="6">
        <f t="shared" si="2"/>
        <v>13.775</v>
      </c>
      <c r="Q43" s="53">
        <v>34.0</v>
      </c>
      <c r="R43" s="53">
        <v>32.0</v>
      </c>
      <c r="S43" s="53">
        <v>32.0</v>
      </c>
      <c r="T43" s="51"/>
      <c r="U43" s="51">
        <v>22.6</v>
      </c>
      <c r="V43" s="51">
        <v>70.0</v>
      </c>
      <c r="W43" s="23">
        <v>21.0</v>
      </c>
    </row>
    <row r="44">
      <c r="A44" s="45" t="s">
        <v>206</v>
      </c>
      <c r="B44" s="46" t="s">
        <v>34</v>
      </c>
      <c r="C44" s="46"/>
      <c r="D44" s="46"/>
      <c r="E44" s="46">
        <v>13.0</v>
      </c>
      <c r="F44" s="46">
        <v>41.0</v>
      </c>
      <c r="G44" s="46">
        <v>488.0</v>
      </c>
      <c r="H44" s="52">
        <f t="shared" si="1"/>
        <v>37.53846154</v>
      </c>
      <c r="I44" s="46">
        <v>11.9</v>
      </c>
      <c r="J44" s="46">
        <v>4.0</v>
      </c>
      <c r="K44" s="46">
        <v>19.0</v>
      </c>
      <c r="L44" s="46">
        <v>99.0</v>
      </c>
      <c r="M44" s="46">
        <v>5.2</v>
      </c>
      <c r="N44" s="46">
        <v>1.0</v>
      </c>
      <c r="O44" s="46">
        <v>1.0</v>
      </c>
      <c r="P44" s="6">
        <f t="shared" si="2"/>
        <v>8.246153846</v>
      </c>
      <c r="Q44" s="53">
        <v>14.0</v>
      </c>
      <c r="R44" s="53">
        <v>20.0</v>
      </c>
      <c r="S44" s="53">
        <v>18.0</v>
      </c>
      <c r="T44" s="51"/>
      <c r="U44" s="51">
        <v>21.6</v>
      </c>
      <c r="V44" s="51">
        <v>70.0</v>
      </c>
      <c r="W44" s="49" t="s">
        <v>309</v>
      </c>
    </row>
    <row r="45">
      <c r="A45" s="45" t="s">
        <v>229</v>
      </c>
      <c r="B45" s="46" t="s">
        <v>336</v>
      </c>
      <c r="C45" s="46"/>
      <c r="D45" s="46"/>
      <c r="E45" s="46">
        <v>12.0</v>
      </c>
      <c r="F45" s="46">
        <v>39.0</v>
      </c>
      <c r="G45" s="46">
        <v>672.0</v>
      </c>
      <c r="H45" s="52">
        <f t="shared" si="1"/>
        <v>56</v>
      </c>
      <c r="I45" s="46">
        <v>17.2</v>
      </c>
      <c r="J45" s="46">
        <v>4.0</v>
      </c>
      <c r="K45" s="46">
        <v>1.0</v>
      </c>
      <c r="L45" s="46">
        <v>4.0</v>
      </c>
      <c r="M45" s="46">
        <v>4.0</v>
      </c>
      <c r="N45" s="46">
        <v>0.0</v>
      </c>
      <c r="O45" s="46">
        <v>3.0</v>
      </c>
      <c r="P45" s="6">
        <f t="shared" si="2"/>
        <v>8.758333333</v>
      </c>
      <c r="Q45" s="53">
        <v>19.0</v>
      </c>
      <c r="R45" s="53">
        <v>29.0</v>
      </c>
      <c r="S45" s="53">
        <v>28.0</v>
      </c>
      <c r="T45" s="51"/>
      <c r="U45" s="51">
        <v>21.8</v>
      </c>
      <c r="V45" s="51">
        <v>72.0</v>
      </c>
      <c r="W45" s="23">
        <v>20.2</v>
      </c>
    </row>
    <row r="46">
      <c r="A46" s="45" t="s">
        <v>208</v>
      </c>
      <c r="B46" s="46" t="s">
        <v>150</v>
      </c>
      <c r="C46" s="46"/>
      <c r="D46" s="46"/>
      <c r="E46" s="46">
        <v>12.0</v>
      </c>
      <c r="F46" s="46">
        <v>47.0</v>
      </c>
      <c r="G46" s="46">
        <v>563.0</v>
      </c>
      <c r="H46" s="52">
        <f t="shared" si="1"/>
        <v>46.91666667</v>
      </c>
      <c r="I46" s="46">
        <v>12.0</v>
      </c>
      <c r="J46" s="46">
        <v>5.0</v>
      </c>
      <c r="K46" s="46">
        <v>0.0</v>
      </c>
      <c r="L46" s="46">
        <v>0.0</v>
      </c>
      <c r="M46" s="46">
        <v>0.0</v>
      </c>
      <c r="N46" s="46">
        <v>0.0</v>
      </c>
      <c r="O46" s="46">
        <v>1.0</v>
      </c>
      <c r="P46" s="6">
        <f t="shared" si="2"/>
        <v>8.983333333</v>
      </c>
      <c r="Q46" s="53">
        <v>18.0</v>
      </c>
      <c r="R46" s="53">
        <v>24.0</v>
      </c>
      <c r="S46" s="53">
        <v>20.0</v>
      </c>
      <c r="T46" s="51"/>
      <c r="U46" s="51">
        <v>23.7</v>
      </c>
      <c r="V46" s="51">
        <v>77.0</v>
      </c>
      <c r="W46" s="23">
        <v>20.1</v>
      </c>
    </row>
    <row r="47">
      <c r="A47" s="45" t="s">
        <v>215</v>
      </c>
      <c r="B47" s="46" t="s">
        <v>245</v>
      </c>
      <c r="C47" s="46"/>
      <c r="D47" s="46"/>
      <c r="E47" s="46">
        <v>15.0</v>
      </c>
      <c r="F47" s="46">
        <v>43.0</v>
      </c>
      <c r="G47" s="46">
        <v>719.0</v>
      </c>
      <c r="H47" s="52">
        <f t="shared" si="1"/>
        <v>47.93333333</v>
      </c>
      <c r="I47" s="46">
        <v>16.7</v>
      </c>
      <c r="J47" s="46">
        <v>6.0</v>
      </c>
      <c r="K47" s="46">
        <v>1.0</v>
      </c>
      <c r="L47" s="46">
        <v>-4.0</v>
      </c>
      <c r="M47" s="46">
        <v>-4.0</v>
      </c>
      <c r="N47" s="46">
        <v>0.0</v>
      </c>
      <c r="O47" s="46">
        <v>0.0</v>
      </c>
      <c r="P47" s="6">
        <f t="shared" si="2"/>
        <v>8.6</v>
      </c>
      <c r="Q47" s="53">
        <v>14.0</v>
      </c>
      <c r="R47" s="53">
        <v>19.0</v>
      </c>
      <c r="S47" s="53">
        <v>19.0</v>
      </c>
      <c r="T47" s="51"/>
      <c r="U47" s="51">
        <v>23.5</v>
      </c>
      <c r="V47" s="51">
        <v>72.0</v>
      </c>
      <c r="W47" s="49" t="s">
        <v>309</v>
      </c>
    </row>
    <row r="48">
      <c r="H48" s="12"/>
    </row>
    <row r="49">
      <c r="H49" s="12"/>
    </row>
    <row r="50">
      <c r="H50" s="12"/>
    </row>
    <row r="51">
      <c r="H51" s="12"/>
    </row>
    <row r="52">
      <c r="H52" s="12"/>
    </row>
    <row r="53">
      <c r="H53" s="12"/>
    </row>
    <row r="54">
      <c r="H54" s="12"/>
    </row>
    <row r="55">
      <c r="H55" s="12"/>
    </row>
    <row r="56">
      <c r="H56" s="12"/>
    </row>
    <row r="57">
      <c r="H57" s="12"/>
    </row>
    <row r="58">
      <c r="H58" s="12"/>
    </row>
    <row r="59">
      <c r="H59" s="12"/>
    </row>
    <row r="60">
      <c r="H60" s="12"/>
    </row>
    <row r="61">
      <c r="H61" s="12"/>
    </row>
    <row r="62">
      <c r="H62" s="12"/>
    </row>
    <row r="63">
      <c r="H63" s="12"/>
    </row>
    <row r="64">
      <c r="H64" s="12"/>
    </row>
    <row r="65">
      <c r="H65" s="12"/>
    </row>
    <row r="66">
      <c r="H66" s="12"/>
    </row>
    <row r="67">
      <c r="H67" s="12"/>
    </row>
    <row r="68">
      <c r="H68" s="12"/>
    </row>
    <row r="69">
      <c r="H69" s="12"/>
    </row>
    <row r="70">
      <c r="H70" s="12"/>
    </row>
    <row r="71">
      <c r="H71" s="12"/>
    </row>
    <row r="72">
      <c r="H72" s="12"/>
    </row>
    <row r="73">
      <c r="H73" s="12"/>
    </row>
    <row r="74">
      <c r="H74" s="12"/>
    </row>
    <row r="75">
      <c r="H75" s="12"/>
    </row>
    <row r="76">
      <c r="H76" s="12"/>
    </row>
    <row r="77">
      <c r="H77" s="12"/>
    </row>
    <row r="78">
      <c r="H78" s="12"/>
    </row>
    <row r="79">
      <c r="H79" s="12"/>
    </row>
    <row r="80">
      <c r="H80" s="12"/>
    </row>
    <row r="81">
      <c r="H81" s="12"/>
    </row>
    <row r="82">
      <c r="H82" s="12"/>
    </row>
    <row r="83">
      <c r="H83" s="12"/>
    </row>
    <row r="84">
      <c r="H84" s="12"/>
    </row>
    <row r="85">
      <c r="H85" s="12"/>
    </row>
    <row r="86">
      <c r="H86" s="12"/>
    </row>
    <row r="87">
      <c r="H87" s="12"/>
    </row>
    <row r="88">
      <c r="H88" s="12"/>
    </row>
    <row r="89">
      <c r="H89" s="12"/>
    </row>
    <row r="90">
      <c r="H90" s="12"/>
    </row>
    <row r="91">
      <c r="H91" s="12"/>
    </row>
    <row r="92">
      <c r="H92" s="12"/>
    </row>
    <row r="93">
      <c r="H93" s="12"/>
    </row>
    <row r="94">
      <c r="H94" s="12"/>
    </row>
    <row r="95">
      <c r="H95" s="12"/>
    </row>
    <row r="96">
      <c r="H96" s="12"/>
    </row>
    <row r="97">
      <c r="H97" s="12"/>
    </row>
    <row r="98">
      <c r="H98" s="12"/>
    </row>
    <row r="99">
      <c r="H99" s="12"/>
    </row>
    <row r="100">
      <c r="H100" s="12"/>
    </row>
    <row r="101">
      <c r="H101" s="12"/>
    </row>
    <row r="102">
      <c r="H102" s="12"/>
    </row>
    <row r="103">
      <c r="H103" s="12"/>
    </row>
    <row r="104">
      <c r="H104" s="12"/>
    </row>
    <row r="105">
      <c r="H105" s="12"/>
    </row>
    <row r="106">
      <c r="H106" s="12"/>
    </row>
    <row r="107">
      <c r="H107" s="12"/>
    </row>
    <row r="108">
      <c r="H108" s="12"/>
    </row>
    <row r="109">
      <c r="H109" s="12"/>
    </row>
    <row r="110">
      <c r="H110" s="12"/>
    </row>
    <row r="111">
      <c r="H111" s="12"/>
    </row>
    <row r="112">
      <c r="H112" s="12"/>
    </row>
    <row r="113">
      <c r="H113" s="12"/>
    </row>
    <row r="114">
      <c r="H114" s="12"/>
    </row>
    <row r="115">
      <c r="H115" s="12"/>
    </row>
    <row r="116">
      <c r="H116" s="12"/>
    </row>
    <row r="117">
      <c r="H117" s="12"/>
    </row>
    <row r="118">
      <c r="H118" s="12"/>
    </row>
    <row r="119">
      <c r="H119" s="12"/>
    </row>
    <row r="120">
      <c r="H120" s="12"/>
    </row>
    <row r="121">
      <c r="H121" s="12"/>
    </row>
    <row r="122">
      <c r="H122" s="12"/>
    </row>
    <row r="123">
      <c r="H123" s="12"/>
    </row>
    <row r="124">
      <c r="H124" s="12"/>
    </row>
    <row r="125">
      <c r="H125" s="12"/>
    </row>
    <row r="126">
      <c r="H126" s="12"/>
    </row>
    <row r="127">
      <c r="H127" s="12"/>
    </row>
    <row r="128">
      <c r="H128" s="12"/>
    </row>
    <row r="129">
      <c r="H129" s="12"/>
    </row>
    <row r="130">
      <c r="H130" s="12"/>
    </row>
    <row r="131">
      <c r="H131" s="12"/>
    </row>
    <row r="132">
      <c r="H132" s="12"/>
    </row>
    <row r="133">
      <c r="H133" s="12"/>
    </row>
    <row r="134">
      <c r="H134" s="12"/>
    </row>
    <row r="135">
      <c r="H135" s="12"/>
    </row>
    <row r="136">
      <c r="H136" s="12"/>
    </row>
    <row r="137">
      <c r="H137" s="12"/>
    </row>
    <row r="138">
      <c r="H138" s="12"/>
    </row>
    <row r="139">
      <c r="H139" s="12"/>
    </row>
    <row r="140">
      <c r="H140" s="12"/>
    </row>
    <row r="141">
      <c r="H141" s="12"/>
    </row>
    <row r="142">
      <c r="H142" s="12"/>
    </row>
    <row r="143">
      <c r="H143" s="12"/>
    </row>
    <row r="144">
      <c r="H144" s="12"/>
    </row>
    <row r="145">
      <c r="H145" s="12"/>
    </row>
    <row r="146">
      <c r="H146" s="12"/>
    </row>
    <row r="147">
      <c r="H147" s="12"/>
    </row>
    <row r="148">
      <c r="H148" s="12"/>
    </row>
    <row r="149">
      <c r="H149" s="12"/>
    </row>
    <row r="150">
      <c r="H150" s="12"/>
    </row>
    <row r="151">
      <c r="H151" s="12"/>
    </row>
    <row r="152">
      <c r="H152" s="12"/>
    </row>
    <row r="153">
      <c r="H153" s="12"/>
    </row>
    <row r="154">
      <c r="H154" s="12"/>
    </row>
    <row r="155">
      <c r="H155" s="12"/>
    </row>
    <row r="156">
      <c r="H156" s="12"/>
    </row>
    <row r="157">
      <c r="H157" s="12"/>
    </row>
    <row r="158">
      <c r="H158" s="12"/>
    </row>
    <row r="159">
      <c r="H159" s="12"/>
    </row>
    <row r="160">
      <c r="H160" s="12"/>
    </row>
    <row r="161">
      <c r="H161" s="12"/>
    </row>
    <row r="162">
      <c r="H162" s="12"/>
    </row>
    <row r="163">
      <c r="H163" s="12"/>
    </row>
    <row r="164">
      <c r="H164" s="12"/>
    </row>
    <row r="165">
      <c r="H165" s="12"/>
    </row>
    <row r="166">
      <c r="H166" s="12"/>
    </row>
    <row r="167">
      <c r="H167" s="12"/>
    </row>
    <row r="168">
      <c r="H168" s="12"/>
    </row>
    <row r="169">
      <c r="H169" s="12"/>
    </row>
    <row r="170">
      <c r="H170" s="12"/>
    </row>
    <row r="171">
      <c r="H171" s="12"/>
    </row>
    <row r="172">
      <c r="H172" s="12"/>
    </row>
    <row r="173">
      <c r="H173" s="12"/>
    </row>
    <row r="174">
      <c r="H174" s="12"/>
    </row>
    <row r="175">
      <c r="H175" s="12"/>
    </row>
    <row r="176">
      <c r="H176" s="12"/>
    </row>
    <row r="177">
      <c r="H177" s="12"/>
    </row>
    <row r="178">
      <c r="H178" s="12"/>
    </row>
    <row r="179">
      <c r="H179" s="12"/>
    </row>
    <row r="180">
      <c r="H180" s="12"/>
    </row>
    <row r="181">
      <c r="H181" s="12"/>
    </row>
    <row r="182">
      <c r="H182" s="12"/>
    </row>
    <row r="183">
      <c r="H183" s="12"/>
    </row>
    <row r="184">
      <c r="H184" s="12"/>
    </row>
    <row r="185">
      <c r="H185" s="12"/>
    </row>
    <row r="186">
      <c r="H186" s="12"/>
    </row>
    <row r="187">
      <c r="H187" s="12"/>
    </row>
    <row r="188">
      <c r="H188" s="12"/>
    </row>
    <row r="189">
      <c r="H189" s="12"/>
    </row>
    <row r="190">
      <c r="H190" s="12"/>
    </row>
    <row r="191">
      <c r="H191" s="12"/>
    </row>
    <row r="192">
      <c r="H192" s="12"/>
    </row>
    <row r="193">
      <c r="H193" s="12"/>
    </row>
    <row r="194">
      <c r="H194" s="12"/>
    </row>
    <row r="195">
      <c r="H195" s="12"/>
    </row>
    <row r="196">
      <c r="H196" s="12"/>
    </row>
    <row r="197">
      <c r="H197" s="12"/>
    </row>
    <row r="198">
      <c r="H198" s="12"/>
    </row>
    <row r="199">
      <c r="H199" s="12"/>
    </row>
    <row r="200">
      <c r="H200" s="12"/>
    </row>
    <row r="201">
      <c r="H201" s="12"/>
    </row>
    <row r="202">
      <c r="H202" s="12"/>
    </row>
    <row r="203">
      <c r="H203" s="12"/>
    </row>
    <row r="204">
      <c r="H204" s="12"/>
    </row>
    <row r="205">
      <c r="H205" s="12"/>
    </row>
    <row r="206">
      <c r="H206" s="12"/>
    </row>
    <row r="207">
      <c r="H207" s="12"/>
    </row>
    <row r="208">
      <c r="H208" s="12"/>
    </row>
    <row r="209">
      <c r="H209" s="12"/>
    </row>
    <row r="210">
      <c r="H210" s="12"/>
    </row>
    <row r="211">
      <c r="H211" s="12"/>
    </row>
    <row r="212">
      <c r="H212" s="12"/>
    </row>
    <row r="213">
      <c r="H213" s="12"/>
    </row>
    <row r="214">
      <c r="H214" s="12"/>
    </row>
    <row r="215">
      <c r="H215" s="12"/>
    </row>
    <row r="216">
      <c r="H216" s="12"/>
    </row>
    <row r="217">
      <c r="H217" s="12"/>
    </row>
    <row r="218">
      <c r="H218" s="12"/>
    </row>
    <row r="219">
      <c r="H219" s="12"/>
    </row>
    <row r="220">
      <c r="H220" s="12"/>
    </row>
    <row r="221">
      <c r="H221" s="12"/>
    </row>
    <row r="222">
      <c r="H222" s="12"/>
    </row>
    <row r="223">
      <c r="H223" s="12"/>
    </row>
    <row r="224">
      <c r="H224" s="12"/>
    </row>
    <row r="225">
      <c r="H225" s="12"/>
    </row>
    <row r="226">
      <c r="H226" s="12"/>
    </row>
    <row r="227">
      <c r="H227" s="12"/>
    </row>
    <row r="228">
      <c r="H228" s="12"/>
    </row>
    <row r="229">
      <c r="H229" s="12"/>
    </row>
    <row r="230">
      <c r="H230" s="12"/>
    </row>
    <row r="231">
      <c r="H231" s="12"/>
    </row>
    <row r="232">
      <c r="H232" s="12"/>
    </row>
    <row r="233">
      <c r="H233" s="12"/>
    </row>
    <row r="234">
      <c r="H234" s="12"/>
    </row>
    <row r="235">
      <c r="H235" s="12"/>
    </row>
    <row r="236">
      <c r="H236" s="12"/>
    </row>
    <row r="237">
      <c r="H237" s="12"/>
    </row>
    <row r="238">
      <c r="H238" s="12"/>
    </row>
    <row r="239">
      <c r="H239" s="12"/>
    </row>
    <row r="240">
      <c r="H240" s="12"/>
    </row>
    <row r="241">
      <c r="H241" s="12"/>
    </row>
    <row r="242">
      <c r="H242" s="12"/>
    </row>
    <row r="243">
      <c r="H243" s="12"/>
    </row>
    <row r="244">
      <c r="H244" s="12"/>
    </row>
    <row r="245">
      <c r="H245" s="12"/>
    </row>
    <row r="246">
      <c r="H246" s="12"/>
    </row>
    <row r="247">
      <c r="H247" s="12"/>
    </row>
    <row r="248">
      <c r="H248" s="12"/>
    </row>
    <row r="249">
      <c r="H249" s="12"/>
    </row>
    <row r="250">
      <c r="H250" s="12"/>
    </row>
    <row r="251">
      <c r="H251" s="12"/>
    </row>
    <row r="252">
      <c r="H252" s="12"/>
    </row>
    <row r="253">
      <c r="H253" s="12"/>
    </row>
    <row r="254">
      <c r="H254" s="12"/>
    </row>
    <row r="255">
      <c r="H255" s="12"/>
    </row>
    <row r="256">
      <c r="H256" s="12"/>
    </row>
    <row r="257">
      <c r="H257" s="12"/>
    </row>
    <row r="258">
      <c r="H258" s="12"/>
    </row>
    <row r="259">
      <c r="H259" s="12"/>
    </row>
    <row r="260">
      <c r="H260" s="12"/>
    </row>
    <row r="261">
      <c r="H261" s="12"/>
    </row>
    <row r="262">
      <c r="H262" s="12"/>
    </row>
    <row r="263">
      <c r="H263" s="12"/>
    </row>
    <row r="264">
      <c r="H264" s="12"/>
    </row>
    <row r="265">
      <c r="H265" s="12"/>
    </row>
    <row r="266">
      <c r="H266" s="12"/>
    </row>
    <row r="267">
      <c r="H267" s="12"/>
    </row>
    <row r="268">
      <c r="H268" s="12"/>
    </row>
    <row r="269">
      <c r="H269" s="12"/>
    </row>
    <row r="270">
      <c r="H270" s="12"/>
    </row>
    <row r="271">
      <c r="H271" s="12"/>
    </row>
    <row r="272">
      <c r="H272" s="12"/>
    </row>
    <row r="273">
      <c r="H273" s="12"/>
    </row>
    <row r="274">
      <c r="H274" s="12"/>
    </row>
    <row r="275">
      <c r="H275" s="12"/>
    </row>
    <row r="276">
      <c r="H276" s="12"/>
    </row>
    <row r="277">
      <c r="H277" s="12"/>
    </row>
    <row r="278">
      <c r="H278" s="12"/>
    </row>
    <row r="279">
      <c r="H279" s="12"/>
    </row>
    <row r="280">
      <c r="H280" s="12"/>
    </row>
    <row r="281">
      <c r="H281" s="12"/>
    </row>
    <row r="282">
      <c r="H282" s="12"/>
    </row>
    <row r="283">
      <c r="H283" s="12"/>
    </row>
    <row r="284">
      <c r="H284" s="12"/>
    </row>
    <row r="285">
      <c r="H285" s="12"/>
    </row>
    <row r="286">
      <c r="H286" s="12"/>
    </row>
    <row r="287">
      <c r="H287" s="12"/>
    </row>
    <row r="288">
      <c r="H288" s="12"/>
    </row>
    <row r="289">
      <c r="H289" s="12"/>
    </row>
    <row r="290">
      <c r="H290" s="12"/>
    </row>
    <row r="291">
      <c r="H291" s="12"/>
    </row>
    <row r="292">
      <c r="H292" s="12"/>
    </row>
    <row r="293">
      <c r="H293" s="12"/>
    </row>
    <row r="294">
      <c r="H294" s="12"/>
    </row>
    <row r="295">
      <c r="H295" s="12"/>
    </row>
    <row r="296">
      <c r="H296" s="12"/>
    </row>
    <row r="297">
      <c r="H297" s="12"/>
    </row>
    <row r="298">
      <c r="H298" s="12"/>
    </row>
    <row r="299">
      <c r="H299" s="12"/>
    </row>
    <row r="300">
      <c r="H300" s="12"/>
    </row>
    <row r="301">
      <c r="H301" s="12"/>
    </row>
    <row r="302">
      <c r="H302" s="12"/>
    </row>
    <row r="303">
      <c r="H303" s="12"/>
    </row>
    <row r="304">
      <c r="H304" s="12"/>
    </row>
    <row r="305">
      <c r="H305" s="12"/>
    </row>
    <row r="306">
      <c r="H306" s="12"/>
    </row>
    <row r="307">
      <c r="H307" s="12"/>
    </row>
    <row r="308">
      <c r="H308" s="12"/>
    </row>
    <row r="309">
      <c r="H309" s="12"/>
    </row>
    <row r="310">
      <c r="H310" s="12"/>
    </row>
    <row r="311">
      <c r="H311" s="12"/>
    </row>
    <row r="312">
      <c r="H312" s="12"/>
    </row>
    <row r="313">
      <c r="H313" s="12"/>
    </row>
    <row r="314">
      <c r="H314" s="12"/>
    </row>
    <row r="315">
      <c r="H315" s="12"/>
    </row>
    <row r="316">
      <c r="H316" s="12"/>
    </row>
    <row r="317">
      <c r="H317" s="12"/>
    </row>
    <row r="318">
      <c r="H318" s="12"/>
    </row>
    <row r="319">
      <c r="H319" s="12"/>
    </row>
    <row r="320">
      <c r="H320" s="12"/>
    </row>
    <row r="321">
      <c r="H321" s="12"/>
    </row>
    <row r="322">
      <c r="H322" s="12"/>
    </row>
    <row r="323">
      <c r="H323" s="12"/>
    </row>
    <row r="324">
      <c r="H324" s="12"/>
    </row>
    <row r="325">
      <c r="H325" s="12"/>
    </row>
    <row r="326">
      <c r="H326" s="12"/>
    </row>
    <row r="327">
      <c r="H327" s="12"/>
    </row>
    <row r="328">
      <c r="H328" s="12"/>
    </row>
    <row r="329">
      <c r="H329" s="12"/>
    </row>
    <row r="330">
      <c r="H330" s="12"/>
    </row>
    <row r="331">
      <c r="H331" s="12"/>
    </row>
    <row r="332">
      <c r="H332" s="12"/>
    </row>
    <row r="333">
      <c r="H333" s="12"/>
    </row>
    <row r="334">
      <c r="H334" s="12"/>
    </row>
    <row r="335">
      <c r="H335" s="12"/>
    </row>
    <row r="336">
      <c r="H336" s="12"/>
    </row>
    <row r="337">
      <c r="H337" s="12"/>
    </row>
    <row r="338">
      <c r="H338" s="12"/>
    </row>
    <row r="339">
      <c r="H339" s="12"/>
    </row>
    <row r="340">
      <c r="H340" s="12"/>
    </row>
    <row r="341">
      <c r="H341" s="12"/>
    </row>
    <row r="342">
      <c r="H342" s="12"/>
    </row>
    <row r="343">
      <c r="H343" s="12"/>
    </row>
    <row r="344">
      <c r="H344" s="12"/>
    </row>
    <row r="345">
      <c r="H345" s="12"/>
    </row>
    <row r="346">
      <c r="H346" s="12"/>
    </row>
    <row r="347">
      <c r="H347" s="12"/>
    </row>
    <row r="348">
      <c r="H348" s="12"/>
    </row>
    <row r="349">
      <c r="H349" s="12"/>
    </row>
    <row r="350">
      <c r="H350" s="12"/>
    </row>
    <row r="351">
      <c r="H351" s="12"/>
    </row>
    <row r="352">
      <c r="H352" s="12"/>
    </row>
    <row r="353">
      <c r="H353" s="12"/>
    </row>
    <row r="354">
      <c r="H354" s="12"/>
    </row>
    <row r="355">
      <c r="H355" s="12"/>
    </row>
    <row r="356">
      <c r="H356" s="12"/>
    </row>
    <row r="357">
      <c r="H357" s="12"/>
    </row>
    <row r="358">
      <c r="H358" s="12"/>
    </row>
    <row r="359">
      <c r="H359" s="12"/>
    </row>
    <row r="360">
      <c r="H360" s="12"/>
    </row>
    <row r="361">
      <c r="H361" s="12"/>
    </row>
    <row r="362">
      <c r="H362" s="12"/>
    </row>
    <row r="363">
      <c r="H363" s="12"/>
    </row>
    <row r="364">
      <c r="H364" s="12"/>
    </row>
    <row r="365">
      <c r="H365" s="12"/>
    </row>
    <row r="366">
      <c r="H366" s="12"/>
    </row>
    <row r="367">
      <c r="H367" s="12"/>
    </row>
    <row r="368">
      <c r="H368" s="12"/>
    </row>
    <row r="369">
      <c r="H369" s="12"/>
    </row>
    <row r="370">
      <c r="H370" s="12"/>
    </row>
    <row r="371">
      <c r="H371" s="12"/>
    </row>
    <row r="372">
      <c r="H372" s="12"/>
    </row>
    <row r="373">
      <c r="H373" s="12"/>
    </row>
    <row r="374">
      <c r="H374" s="12"/>
    </row>
    <row r="375">
      <c r="H375" s="12"/>
    </row>
    <row r="376">
      <c r="H376" s="12"/>
    </row>
    <row r="377">
      <c r="H377" s="12"/>
    </row>
    <row r="378">
      <c r="H378" s="12"/>
    </row>
    <row r="379">
      <c r="H379" s="12"/>
    </row>
    <row r="380">
      <c r="H380" s="12"/>
    </row>
    <row r="381">
      <c r="H381" s="12"/>
    </row>
    <row r="382">
      <c r="H382" s="12"/>
    </row>
    <row r="383">
      <c r="H383" s="12"/>
    </row>
    <row r="384">
      <c r="H384" s="12"/>
    </row>
    <row r="385">
      <c r="H385" s="12"/>
    </row>
    <row r="386">
      <c r="H386" s="12"/>
    </row>
    <row r="387">
      <c r="H387" s="12"/>
    </row>
    <row r="388">
      <c r="H388" s="12"/>
    </row>
    <row r="389">
      <c r="H389" s="12"/>
    </row>
    <row r="390">
      <c r="H390" s="12"/>
    </row>
    <row r="391">
      <c r="H391" s="12"/>
    </row>
    <row r="392">
      <c r="H392" s="12"/>
    </row>
    <row r="393">
      <c r="H393" s="12"/>
    </row>
    <row r="394">
      <c r="H394" s="12"/>
    </row>
    <row r="395">
      <c r="H395" s="12"/>
    </row>
    <row r="396">
      <c r="H396" s="12"/>
    </row>
    <row r="397">
      <c r="H397" s="12"/>
    </row>
    <row r="398">
      <c r="H398" s="12"/>
    </row>
    <row r="399">
      <c r="H399" s="12"/>
    </row>
    <row r="400">
      <c r="H400" s="12"/>
    </row>
    <row r="401">
      <c r="H401" s="12"/>
    </row>
    <row r="402">
      <c r="H402" s="12"/>
    </row>
    <row r="403">
      <c r="H403" s="12"/>
    </row>
    <row r="404">
      <c r="H404" s="12"/>
    </row>
    <row r="405">
      <c r="H405" s="12"/>
    </row>
    <row r="406">
      <c r="H406" s="12"/>
    </row>
    <row r="407">
      <c r="H407" s="12"/>
    </row>
    <row r="408">
      <c r="H408" s="12"/>
    </row>
    <row r="409">
      <c r="H409" s="12"/>
    </row>
    <row r="410">
      <c r="H410" s="12"/>
    </row>
    <row r="411">
      <c r="H411" s="12"/>
    </row>
    <row r="412">
      <c r="H412" s="12"/>
    </row>
    <row r="413">
      <c r="H413" s="12"/>
    </row>
    <row r="414">
      <c r="H414" s="12"/>
    </row>
    <row r="415">
      <c r="H415" s="12"/>
    </row>
    <row r="416">
      <c r="H416" s="12"/>
    </row>
    <row r="417">
      <c r="H417" s="12"/>
    </row>
    <row r="418">
      <c r="H418" s="12"/>
    </row>
    <row r="419">
      <c r="H419" s="12"/>
    </row>
    <row r="420">
      <c r="H420" s="12"/>
    </row>
    <row r="421">
      <c r="H421" s="12"/>
    </row>
    <row r="422">
      <c r="H422" s="12"/>
    </row>
    <row r="423">
      <c r="H423" s="12"/>
    </row>
    <row r="424">
      <c r="H424" s="12"/>
    </row>
    <row r="425">
      <c r="H425" s="12"/>
    </row>
    <row r="426">
      <c r="H426" s="12"/>
    </row>
    <row r="427">
      <c r="H427" s="12"/>
    </row>
    <row r="428">
      <c r="H428" s="12"/>
    </row>
    <row r="429">
      <c r="H429" s="12"/>
    </row>
    <row r="430">
      <c r="H430" s="12"/>
    </row>
    <row r="431">
      <c r="H431" s="12"/>
    </row>
    <row r="432">
      <c r="H432" s="12"/>
    </row>
    <row r="433">
      <c r="H433" s="12"/>
    </row>
    <row r="434">
      <c r="H434" s="12"/>
    </row>
    <row r="435">
      <c r="H435" s="12"/>
    </row>
    <row r="436">
      <c r="H436" s="12"/>
    </row>
    <row r="437">
      <c r="H437" s="12"/>
    </row>
    <row r="438">
      <c r="H438" s="12"/>
    </row>
    <row r="439">
      <c r="H439" s="12"/>
    </row>
    <row r="440">
      <c r="H440" s="12"/>
    </row>
    <row r="441">
      <c r="H441" s="12"/>
    </row>
    <row r="442">
      <c r="H442" s="12"/>
    </row>
    <row r="443">
      <c r="H443" s="12"/>
    </row>
    <row r="444">
      <c r="H444" s="12"/>
    </row>
    <row r="445">
      <c r="H445" s="12"/>
    </row>
    <row r="446">
      <c r="H446" s="12"/>
    </row>
    <row r="447">
      <c r="H447" s="12"/>
    </row>
    <row r="448">
      <c r="H448" s="12"/>
    </row>
    <row r="449">
      <c r="H449" s="12"/>
    </row>
    <row r="450">
      <c r="H450" s="12"/>
    </row>
    <row r="451">
      <c r="H451" s="12"/>
    </row>
    <row r="452">
      <c r="H452" s="12"/>
    </row>
    <row r="453">
      <c r="H453" s="12"/>
    </row>
    <row r="454">
      <c r="H454" s="12"/>
    </row>
    <row r="455">
      <c r="H455" s="12"/>
    </row>
    <row r="456">
      <c r="H456" s="12"/>
    </row>
    <row r="457">
      <c r="H457" s="12"/>
    </row>
    <row r="458">
      <c r="H458" s="12"/>
    </row>
    <row r="459">
      <c r="H459" s="12"/>
    </row>
    <row r="460">
      <c r="H460" s="12"/>
    </row>
    <row r="461">
      <c r="H461" s="12"/>
    </row>
    <row r="462">
      <c r="H462" s="12"/>
    </row>
    <row r="463">
      <c r="H463" s="12"/>
    </row>
    <row r="464">
      <c r="H464" s="12"/>
    </row>
    <row r="465">
      <c r="H465" s="12"/>
    </row>
    <row r="466">
      <c r="H466" s="12"/>
    </row>
    <row r="467">
      <c r="H467" s="12"/>
    </row>
    <row r="468">
      <c r="H468" s="12"/>
    </row>
    <row r="469">
      <c r="H469" s="12"/>
    </row>
    <row r="470">
      <c r="H470" s="12"/>
    </row>
    <row r="471">
      <c r="H471" s="12"/>
    </row>
    <row r="472">
      <c r="H472" s="12"/>
    </row>
    <row r="473">
      <c r="H473" s="12"/>
    </row>
    <row r="474">
      <c r="H474" s="12"/>
    </row>
    <row r="475">
      <c r="H475" s="12"/>
    </row>
    <row r="476">
      <c r="H476" s="12"/>
    </row>
    <row r="477">
      <c r="H477" s="12"/>
    </row>
    <row r="478">
      <c r="H478" s="12"/>
    </row>
    <row r="479">
      <c r="H479" s="12"/>
    </row>
    <row r="480">
      <c r="H480" s="12"/>
    </row>
    <row r="481">
      <c r="H481" s="12"/>
    </row>
    <row r="482">
      <c r="H482" s="12"/>
    </row>
    <row r="483">
      <c r="H483" s="12"/>
    </row>
    <row r="484">
      <c r="H484" s="12"/>
    </row>
    <row r="485">
      <c r="H485" s="12"/>
    </row>
    <row r="486">
      <c r="H486" s="12"/>
    </row>
    <row r="487">
      <c r="H487" s="12"/>
    </row>
    <row r="488">
      <c r="H488" s="12"/>
    </row>
    <row r="489">
      <c r="H489" s="12"/>
    </row>
    <row r="490">
      <c r="H490" s="12"/>
    </row>
    <row r="491">
      <c r="H491" s="12"/>
    </row>
    <row r="492">
      <c r="H492" s="12"/>
    </row>
    <row r="493">
      <c r="H493" s="12"/>
    </row>
    <row r="494">
      <c r="H494" s="12"/>
    </row>
    <row r="495">
      <c r="H495" s="12"/>
    </row>
    <row r="496">
      <c r="H496" s="12"/>
    </row>
    <row r="497">
      <c r="H497" s="12"/>
    </row>
    <row r="498">
      <c r="H498" s="12"/>
    </row>
    <row r="499">
      <c r="H499" s="12"/>
    </row>
    <row r="500">
      <c r="H500" s="12"/>
    </row>
    <row r="501">
      <c r="H501" s="12"/>
    </row>
    <row r="502">
      <c r="H502" s="12"/>
    </row>
    <row r="503">
      <c r="H503" s="12"/>
    </row>
    <row r="504">
      <c r="H504" s="12"/>
    </row>
    <row r="505">
      <c r="H505" s="12"/>
    </row>
    <row r="506">
      <c r="H506" s="12"/>
    </row>
    <row r="507">
      <c r="H507" s="12"/>
    </row>
    <row r="508">
      <c r="H508" s="12"/>
    </row>
    <row r="509">
      <c r="H509" s="12"/>
    </row>
    <row r="510">
      <c r="H510" s="12"/>
    </row>
    <row r="511">
      <c r="H511" s="12"/>
    </row>
    <row r="512">
      <c r="H512" s="12"/>
    </row>
    <row r="513">
      <c r="H513" s="12"/>
    </row>
    <row r="514">
      <c r="H514" s="12"/>
    </row>
    <row r="515">
      <c r="H515" s="12"/>
    </row>
    <row r="516">
      <c r="H516" s="12"/>
    </row>
    <row r="517">
      <c r="H517" s="12"/>
    </row>
    <row r="518">
      <c r="H518" s="12"/>
    </row>
    <row r="519">
      <c r="H519" s="12"/>
    </row>
    <row r="520">
      <c r="H520" s="12"/>
    </row>
    <row r="521">
      <c r="H521" s="12"/>
    </row>
    <row r="522">
      <c r="H522" s="12"/>
    </row>
    <row r="523">
      <c r="H523" s="12"/>
    </row>
    <row r="524">
      <c r="H524" s="12"/>
    </row>
    <row r="525">
      <c r="H525" s="12"/>
    </row>
    <row r="526">
      <c r="H526" s="12"/>
    </row>
    <row r="527">
      <c r="H527" s="12"/>
    </row>
    <row r="528">
      <c r="H528" s="12"/>
    </row>
    <row r="529">
      <c r="H529" s="12"/>
    </row>
    <row r="530">
      <c r="H530" s="12"/>
    </row>
    <row r="531">
      <c r="H531" s="12"/>
    </row>
    <row r="532">
      <c r="H532" s="12"/>
    </row>
    <row r="533">
      <c r="H533" s="12"/>
    </row>
    <row r="534">
      <c r="H534" s="12"/>
    </row>
    <row r="535">
      <c r="H535" s="12"/>
    </row>
    <row r="536">
      <c r="H536" s="12"/>
    </row>
    <row r="537">
      <c r="H537" s="12"/>
    </row>
    <row r="538">
      <c r="H538" s="12"/>
    </row>
    <row r="539">
      <c r="H539" s="12"/>
    </row>
    <row r="540">
      <c r="H540" s="12"/>
    </row>
    <row r="541">
      <c r="H541" s="12"/>
    </row>
    <row r="542">
      <c r="H542" s="12"/>
    </row>
    <row r="543">
      <c r="H543" s="12"/>
    </row>
    <row r="544">
      <c r="H544" s="12"/>
    </row>
    <row r="545">
      <c r="H545" s="12"/>
    </row>
    <row r="546">
      <c r="H546" s="12"/>
    </row>
    <row r="547">
      <c r="H547" s="12"/>
    </row>
    <row r="548">
      <c r="H548" s="12"/>
    </row>
    <row r="549">
      <c r="H549" s="12"/>
    </row>
    <row r="550">
      <c r="H550" s="12"/>
    </row>
    <row r="551">
      <c r="H551" s="12"/>
    </row>
    <row r="552">
      <c r="H552" s="12"/>
    </row>
    <row r="553">
      <c r="H553" s="12"/>
    </row>
    <row r="554">
      <c r="H554" s="12"/>
    </row>
    <row r="555">
      <c r="H555" s="12"/>
    </row>
    <row r="556">
      <c r="H556" s="12"/>
    </row>
    <row r="557">
      <c r="H557" s="12"/>
    </row>
    <row r="558">
      <c r="H558" s="12"/>
    </row>
    <row r="559">
      <c r="H559" s="12"/>
    </row>
    <row r="560">
      <c r="H560" s="12"/>
    </row>
    <row r="561">
      <c r="H561" s="12"/>
    </row>
    <row r="562">
      <c r="H562" s="12"/>
    </row>
    <row r="563">
      <c r="H563" s="12"/>
    </row>
    <row r="564">
      <c r="H564" s="12"/>
    </row>
    <row r="565">
      <c r="H565" s="12"/>
    </row>
    <row r="566">
      <c r="H566" s="12"/>
    </row>
    <row r="567">
      <c r="H567" s="12"/>
    </row>
    <row r="568">
      <c r="H568" s="12"/>
    </row>
    <row r="569">
      <c r="H569" s="12"/>
    </row>
    <row r="570">
      <c r="H570" s="12"/>
    </row>
    <row r="571">
      <c r="H571" s="12"/>
    </row>
    <row r="572">
      <c r="H572" s="12"/>
    </row>
    <row r="573">
      <c r="H573" s="12"/>
    </row>
    <row r="574">
      <c r="H574" s="12"/>
    </row>
    <row r="575">
      <c r="H575" s="12"/>
    </row>
    <row r="576">
      <c r="H576" s="12"/>
    </row>
    <row r="577">
      <c r="H577" s="12"/>
    </row>
    <row r="578">
      <c r="H578" s="12"/>
    </row>
    <row r="579">
      <c r="H579" s="12"/>
    </row>
    <row r="580">
      <c r="H580" s="12"/>
    </row>
    <row r="581">
      <c r="H581" s="12"/>
    </row>
    <row r="582">
      <c r="H582" s="12"/>
    </row>
    <row r="583">
      <c r="H583" s="12"/>
    </row>
    <row r="584">
      <c r="H584" s="12"/>
    </row>
    <row r="585">
      <c r="H585" s="12"/>
    </row>
    <row r="586">
      <c r="H586" s="12"/>
    </row>
    <row r="587">
      <c r="H587" s="12"/>
    </row>
    <row r="588">
      <c r="H588" s="12"/>
    </row>
    <row r="589">
      <c r="H589" s="12"/>
    </row>
    <row r="590">
      <c r="H590" s="12"/>
    </row>
    <row r="591">
      <c r="H591" s="12"/>
    </row>
    <row r="592">
      <c r="H592" s="12"/>
    </row>
    <row r="593">
      <c r="H593" s="12"/>
    </row>
    <row r="594">
      <c r="H594" s="12"/>
    </row>
    <row r="595">
      <c r="H595" s="12"/>
    </row>
    <row r="596">
      <c r="H596" s="12"/>
    </row>
    <row r="597">
      <c r="H597" s="12"/>
    </row>
    <row r="598">
      <c r="H598" s="12"/>
    </row>
    <row r="599">
      <c r="H599" s="12"/>
    </row>
    <row r="600">
      <c r="H600" s="12"/>
    </row>
    <row r="601">
      <c r="H601" s="12"/>
    </row>
    <row r="602">
      <c r="H602" s="12"/>
    </row>
    <row r="603">
      <c r="H603" s="12"/>
    </row>
    <row r="604">
      <c r="H604" s="12"/>
    </row>
    <row r="605">
      <c r="H605" s="12"/>
    </row>
    <row r="606">
      <c r="H606" s="12"/>
    </row>
    <row r="607">
      <c r="H607" s="12"/>
    </row>
    <row r="608">
      <c r="H608" s="12"/>
    </row>
    <row r="609">
      <c r="H609" s="12"/>
    </row>
    <row r="610">
      <c r="H610" s="12"/>
    </row>
    <row r="611">
      <c r="H611" s="12"/>
    </row>
    <row r="612">
      <c r="H612" s="12"/>
    </row>
    <row r="613">
      <c r="H613" s="12"/>
    </row>
    <row r="614">
      <c r="H614" s="12"/>
    </row>
    <row r="615">
      <c r="H615" s="12"/>
    </row>
    <row r="616">
      <c r="H616" s="12"/>
    </row>
    <row r="617">
      <c r="H617" s="12"/>
    </row>
    <row r="618">
      <c r="H618" s="12"/>
    </row>
    <row r="619">
      <c r="H619" s="12"/>
    </row>
    <row r="620">
      <c r="H620" s="12"/>
    </row>
    <row r="621">
      <c r="H621" s="12"/>
    </row>
    <row r="622">
      <c r="H622" s="12"/>
    </row>
    <row r="623">
      <c r="H623" s="12"/>
    </row>
    <row r="624">
      <c r="H624" s="12"/>
    </row>
    <row r="625">
      <c r="H625" s="12"/>
    </row>
    <row r="626">
      <c r="H626" s="12"/>
    </row>
    <row r="627">
      <c r="H627" s="12"/>
    </row>
    <row r="628">
      <c r="H628" s="12"/>
    </row>
    <row r="629">
      <c r="H629" s="12"/>
    </row>
    <row r="630">
      <c r="H630" s="12"/>
    </row>
    <row r="631">
      <c r="H631" s="12"/>
    </row>
    <row r="632">
      <c r="H632" s="12"/>
    </row>
    <row r="633">
      <c r="H633" s="12"/>
    </row>
    <row r="634">
      <c r="H634" s="12"/>
    </row>
    <row r="635">
      <c r="H635" s="12"/>
    </row>
    <row r="636">
      <c r="H636" s="12"/>
    </row>
    <row r="637">
      <c r="H637" s="12"/>
    </row>
    <row r="638">
      <c r="H638" s="12"/>
    </row>
    <row r="639">
      <c r="H639" s="12"/>
    </row>
    <row r="640">
      <c r="H640" s="12"/>
    </row>
    <row r="641">
      <c r="H641" s="12"/>
    </row>
    <row r="642">
      <c r="H642" s="12"/>
    </row>
    <row r="643">
      <c r="H643" s="12"/>
    </row>
    <row r="644">
      <c r="H644" s="12"/>
    </row>
    <row r="645">
      <c r="H645" s="12"/>
    </row>
    <row r="646">
      <c r="H646" s="12"/>
    </row>
    <row r="647">
      <c r="H647" s="12"/>
    </row>
    <row r="648">
      <c r="H648" s="12"/>
    </row>
    <row r="649">
      <c r="H649" s="12"/>
    </row>
    <row r="650">
      <c r="H650" s="12"/>
    </row>
    <row r="651">
      <c r="H651" s="12"/>
    </row>
    <row r="652">
      <c r="H652" s="12"/>
    </row>
    <row r="653">
      <c r="H653" s="12"/>
    </row>
    <row r="654">
      <c r="H654" s="12"/>
    </row>
    <row r="655">
      <c r="H655" s="12"/>
    </row>
    <row r="656">
      <c r="H656" s="12"/>
    </row>
    <row r="657">
      <c r="H657" s="12"/>
    </row>
    <row r="658">
      <c r="H658" s="12"/>
    </row>
    <row r="659">
      <c r="H659" s="12"/>
    </row>
    <row r="660">
      <c r="H660" s="12"/>
    </row>
    <row r="661">
      <c r="H661" s="12"/>
    </row>
    <row r="662">
      <c r="H662" s="12"/>
    </row>
    <row r="663">
      <c r="H663" s="12"/>
    </row>
    <row r="664">
      <c r="H664" s="12"/>
    </row>
    <row r="665">
      <c r="H665" s="12"/>
    </row>
    <row r="666">
      <c r="H666" s="12"/>
    </row>
    <row r="667">
      <c r="H667" s="12"/>
    </row>
    <row r="668">
      <c r="H668" s="12"/>
    </row>
    <row r="669">
      <c r="H669" s="12"/>
    </row>
    <row r="670">
      <c r="H670" s="12"/>
    </row>
    <row r="671">
      <c r="H671" s="12"/>
    </row>
    <row r="672">
      <c r="H672" s="12"/>
    </row>
    <row r="673">
      <c r="H673" s="12"/>
    </row>
    <row r="674">
      <c r="H674" s="12"/>
    </row>
    <row r="675">
      <c r="H675" s="12"/>
    </row>
    <row r="676">
      <c r="H676" s="12"/>
    </row>
    <row r="677">
      <c r="H677" s="12"/>
    </row>
    <row r="678">
      <c r="H678" s="12"/>
    </row>
    <row r="679">
      <c r="H679" s="12"/>
    </row>
    <row r="680">
      <c r="H680" s="12"/>
    </row>
    <row r="681">
      <c r="H681" s="12"/>
    </row>
    <row r="682">
      <c r="H682" s="12"/>
    </row>
    <row r="683">
      <c r="H683" s="12"/>
    </row>
    <row r="684">
      <c r="H684" s="12"/>
    </row>
    <row r="685">
      <c r="H685" s="12"/>
    </row>
    <row r="686">
      <c r="H686" s="12"/>
    </row>
    <row r="687">
      <c r="H687" s="12"/>
    </row>
    <row r="688">
      <c r="H688" s="12"/>
    </row>
    <row r="689">
      <c r="H689" s="12"/>
    </row>
    <row r="690">
      <c r="H690" s="12"/>
    </row>
    <row r="691">
      <c r="H691" s="12"/>
    </row>
    <row r="692">
      <c r="H692" s="12"/>
    </row>
    <row r="693">
      <c r="H693" s="12"/>
    </row>
    <row r="694">
      <c r="H694" s="12"/>
    </row>
    <row r="695">
      <c r="H695" s="12"/>
    </row>
    <row r="696">
      <c r="H696" s="12"/>
    </row>
    <row r="697">
      <c r="H697" s="12"/>
    </row>
    <row r="698">
      <c r="H698" s="12"/>
    </row>
    <row r="699">
      <c r="H699" s="12"/>
    </row>
    <row r="700">
      <c r="H700" s="12"/>
    </row>
    <row r="701">
      <c r="H701" s="12"/>
    </row>
    <row r="702">
      <c r="H702" s="12"/>
    </row>
    <row r="703">
      <c r="H703" s="12"/>
    </row>
    <row r="704">
      <c r="H704" s="12"/>
    </row>
    <row r="705">
      <c r="H705" s="12"/>
    </row>
    <row r="706">
      <c r="H706" s="12"/>
    </row>
    <row r="707">
      <c r="H707" s="12"/>
    </row>
    <row r="708">
      <c r="H708" s="12"/>
    </row>
    <row r="709">
      <c r="H709" s="12"/>
    </row>
    <row r="710">
      <c r="H710" s="12"/>
    </row>
    <row r="711">
      <c r="H711" s="12"/>
    </row>
    <row r="712">
      <c r="H712" s="12"/>
    </row>
    <row r="713">
      <c r="H713" s="12"/>
    </row>
    <row r="714">
      <c r="H714" s="12"/>
    </row>
    <row r="715">
      <c r="H715" s="12"/>
    </row>
    <row r="716">
      <c r="H716" s="12"/>
    </row>
    <row r="717">
      <c r="H717" s="12"/>
    </row>
    <row r="718">
      <c r="H718" s="12"/>
    </row>
    <row r="719">
      <c r="H719" s="12"/>
    </row>
    <row r="720">
      <c r="H720" s="12"/>
    </row>
    <row r="721">
      <c r="H721" s="12"/>
    </row>
    <row r="722">
      <c r="H722" s="12"/>
    </row>
    <row r="723">
      <c r="H723" s="12"/>
    </row>
    <row r="724">
      <c r="H724" s="12"/>
    </row>
    <row r="725">
      <c r="H725" s="12"/>
    </row>
    <row r="726">
      <c r="H726" s="12"/>
    </row>
    <row r="727">
      <c r="H727" s="12"/>
    </row>
    <row r="728">
      <c r="H728" s="12"/>
    </row>
    <row r="729">
      <c r="H729" s="12"/>
    </row>
    <row r="730">
      <c r="H730" s="12"/>
    </row>
    <row r="731">
      <c r="H731" s="12"/>
    </row>
    <row r="732">
      <c r="H732" s="12"/>
    </row>
    <row r="733">
      <c r="H733" s="12"/>
    </row>
    <row r="734">
      <c r="H734" s="12"/>
    </row>
    <row r="735">
      <c r="H735" s="12"/>
    </row>
    <row r="736">
      <c r="H736" s="12"/>
    </row>
    <row r="737">
      <c r="H737" s="12"/>
    </row>
    <row r="738">
      <c r="H738" s="12"/>
    </row>
    <row r="739">
      <c r="H739" s="12"/>
    </row>
    <row r="740">
      <c r="H740" s="12"/>
    </row>
    <row r="741">
      <c r="H741" s="12"/>
    </row>
    <row r="742">
      <c r="H742" s="12"/>
    </row>
    <row r="743">
      <c r="H743" s="12"/>
    </row>
    <row r="744">
      <c r="H744" s="12"/>
    </row>
    <row r="745">
      <c r="H745" s="12"/>
    </row>
    <row r="746">
      <c r="H746" s="12"/>
    </row>
    <row r="747">
      <c r="H747" s="12"/>
    </row>
    <row r="748">
      <c r="H748" s="12"/>
    </row>
    <row r="749">
      <c r="H749" s="12"/>
    </row>
    <row r="750">
      <c r="H750" s="12"/>
    </row>
    <row r="751">
      <c r="H751" s="12"/>
    </row>
    <row r="752">
      <c r="H752" s="12"/>
    </row>
    <row r="753">
      <c r="H753" s="12"/>
    </row>
    <row r="754">
      <c r="H754" s="12"/>
    </row>
    <row r="755">
      <c r="H755" s="12"/>
    </row>
    <row r="756">
      <c r="H756" s="12"/>
    </row>
    <row r="757">
      <c r="H757" s="12"/>
    </row>
    <row r="758">
      <c r="H758" s="12"/>
    </row>
    <row r="759">
      <c r="H759" s="12"/>
    </row>
    <row r="760">
      <c r="H760" s="12"/>
    </row>
    <row r="761">
      <c r="H761" s="12"/>
    </row>
    <row r="762">
      <c r="H762" s="12"/>
    </row>
    <row r="763">
      <c r="H763" s="12"/>
    </row>
    <row r="764">
      <c r="H764" s="12"/>
    </row>
    <row r="765">
      <c r="H765" s="12"/>
    </row>
    <row r="766">
      <c r="H766" s="12"/>
    </row>
    <row r="767">
      <c r="H767" s="12"/>
    </row>
    <row r="768">
      <c r="H768" s="12"/>
    </row>
    <row r="769">
      <c r="H769" s="12"/>
    </row>
    <row r="770">
      <c r="H770" s="12"/>
    </row>
    <row r="771">
      <c r="H771" s="12"/>
    </row>
    <row r="772">
      <c r="H772" s="12"/>
    </row>
    <row r="773">
      <c r="H773" s="12"/>
    </row>
    <row r="774">
      <c r="H774" s="12"/>
    </row>
    <row r="775">
      <c r="H775" s="12"/>
    </row>
    <row r="776">
      <c r="H776" s="12"/>
    </row>
    <row r="777">
      <c r="H777" s="12"/>
    </row>
    <row r="778">
      <c r="H778" s="12"/>
    </row>
    <row r="779">
      <c r="H779" s="12"/>
    </row>
    <row r="780">
      <c r="H780" s="12"/>
    </row>
    <row r="781">
      <c r="H781" s="12"/>
    </row>
    <row r="782">
      <c r="H782" s="12"/>
    </row>
    <row r="783">
      <c r="H783" s="12"/>
    </row>
    <row r="784">
      <c r="H784" s="12"/>
    </row>
    <row r="785">
      <c r="H785" s="12"/>
    </row>
    <row r="786">
      <c r="H786" s="12"/>
    </row>
    <row r="787">
      <c r="H787" s="12"/>
    </row>
    <row r="788">
      <c r="H788" s="12"/>
    </row>
    <row r="789">
      <c r="H789" s="12"/>
    </row>
    <row r="790">
      <c r="H790" s="12"/>
    </row>
    <row r="791">
      <c r="H791" s="12"/>
    </row>
    <row r="792">
      <c r="H792" s="12"/>
    </row>
    <row r="793">
      <c r="H793" s="12"/>
    </row>
    <row r="794">
      <c r="H794" s="12"/>
    </row>
    <row r="795">
      <c r="H795" s="12"/>
    </row>
    <row r="796">
      <c r="H796" s="12"/>
    </row>
    <row r="797">
      <c r="H797" s="12"/>
    </row>
    <row r="798">
      <c r="H798" s="12"/>
    </row>
    <row r="799">
      <c r="H799" s="12"/>
    </row>
    <row r="800">
      <c r="H800" s="12"/>
    </row>
    <row r="801">
      <c r="H801" s="12"/>
    </row>
    <row r="802">
      <c r="H802" s="12"/>
    </row>
    <row r="803">
      <c r="H803" s="12"/>
    </row>
    <row r="804">
      <c r="H804" s="12"/>
    </row>
    <row r="805">
      <c r="H805" s="12"/>
    </row>
    <row r="806">
      <c r="H806" s="12"/>
    </row>
    <row r="807">
      <c r="H807" s="12"/>
    </row>
    <row r="808">
      <c r="H808" s="12"/>
    </row>
    <row r="809">
      <c r="H809" s="12"/>
    </row>
    <row r="810">
      <c r="H810" s="12"/>
    </row>
    <row r="811">
      <c r="H811" s="12"/>
    </row>
    <row r="812">
      <c r="H812" s="12"/>
    </row>
    <row r="813">
      <c r="H813" s="12"/>
    </row>
    <row r="814">
      <c r="H814" s="12"/>
    </row>
    <row r="815">
      <c r="H815" s="12"/>
    </row>
    <row r="816">
      <c r="H816" s="12"/>
    </row>
    <row r="817">
      <c r="H817" s="12"/>
    </row>
    <row r="818">
      <c r="H818" s="12"/>
    </row>
    <row r="819">
      <c r="H819" s="12"/>
    </row>
    <row r="820">
      <c r="H820" s="12"/>
    </row>
    <row r="821">
      <c r="H821" s="12"/>
    </row>
    <row r="822">
      <c r="H822" s="12"/>
    </row>
    <row r="823">
      <c r="H823" s="12"/>
    </row>
    <row r="824">
      <c r="H824" s="12"/>
    </row>
    <row r="825">
      <c r="H825" s="12"/>
    </row>
    <row r="826">
      <c r="H826" s="12"/>
    </row>
    <row r="827">
      <c r="H827" s="12"/>
    </row>
    <row r="828">
      <c r="H828" s="12"/>
    </row>
    <row r="829">
      <c r="H829" s="12"/>
    </row>
    <row r="830">
      <c r="H830" s="12"/>
    </row>
    <row r="831">
      <c r="H831" s="12"/>
    </row>
    <row r="832">
      <c r="H832" s="12"/>
    </row>
    <row r="833">
      <c r="H833" s="12"/>
    </row>
    <row r="834">
      <c r="H834" s="12"/>
    </row>
    <row r="835">
      <c r="H835" s="12"/>
    </row>
    <row r="836">
      <c r="H836" s="12"/>
    </row>
    <row r="837">
      <c r="H837" s="12"/>
    </row>
    <row r="838">
      <c r="H838" s="12"/>
    </row>
    <row r="839">
      <c r="H839" s="12"/>
    </row>
    <row r="840">
      <c r="H840" s="12"/>
    </row>
    <row r="841">
      <c r="H841" s="12"/>
    </row>
    <row r="842">
      <c r="H842" s="12"/>
    </row>
    <row r="843">
      <c r="H843" s="12"/>
    </row>
    <row r="844">
      <c r="H844" s="12"/>
    </row>
    <row r="845">
      <c r="H845" s="12"/>
    </row>
    <row r="846">
      <c r="H846" s="12"/>
    </row>
    <row r="847">
      <c r="H847" s="12"/>
    </row>
    <row r="848">
      <c r="H848" s="12"/>
    </row>
    <row r="849">
      <c r="H849" s="12"/>
    </row>
    <row r="850">
      <c r="H850" s="12"/>
    </row>
    <row r="851">
      <c r="H851" s="12"/>
    </row>
    <row r="852">
      <c r="H852" s="12"/>
    </row>
    <row r="853">
      <c r="H853" s="12"/>
    </row>
    <row r="854">
      <c r="H854" s="12"/>
    </row>
    <row r="855">
      <c r="H855" s="12"/>
    </row>
    <row r="856">
      <c r="H856" s="12"/>
    </row>
    <row r="857">
      <c r="H857" s="12"/>
    </row>
    <row r="858">
      <c r="H858" s="12"/>
    </row>
    <row r="859">
      <c r="H859" s="12"/>
    </row>
    <row r="860">
      <c r="H860" s="12"/>
    </row>
    <row r="861">
      <c r="H861" s="12"/>
    </row>
    <row r="862">
      <c r="H862" s="12"/>
    </row>
    <row r="863">
      <c r="H863" s="12"/>
    </row>
    <row r="864">
      <c r="H864" s="12"/>
    </row>
    <row r="865">
      <c r="H865" s="12"/>
    </row>
    <row r="866">
      <c r="H866" s="12"/>
    </row>
    <row r="867">
      <c r="H867" s="12"/>
    </row>
    <row r="868">
      <c r="H868" s="12"/>
    </row>
    <row r="869">
      <c r="H869" s="12"/>
    </row>
    <row r="870">
      <c r="H870" s="12"/>
    </row>
    <row r="871">
      <c r="H871" s="12"/>
    </row>
    <row r="872">
      <c r="H872" s="12"/>
    </row>
    <row r="873">
      <c r="H873" s="12"/>
    </row>
    <row r="874">
      <c r="H874" s="12"/>
    </row>
    <row r="875">
      <c r="H875" s="12"/>
    </row>
    <row r="876">
      <c r="H876" s="12"/>
    </row>
    <row r="877">
      <c r="H877" s="12"/>
    </row>
    <row r="878">
      <c r="H878" s="12"/>
    </row>
    <row r="879">
      <c r="H879" s="12"/>
    </row>
    <row r="880">
      <c r="H880" s="12"/>
    </row>
    <row r="881">
      <c r="H881" s="12"/>
    </row>
    <row r="882">
      <c r="H882" s="12"/>
    </row>
    <row r="883">
      <c r="H883" s="12"/>
    </row>
    <row r="884">
      <c r="H884" s="12"/>
    </row>
    <row r="885">
      <c r="H885" s="12"/>
    </row>
    <row r="886">
      <c r="H886" s="12"/>
    </row>
    <row r="887">
      <c r="H887" s="12"/>
    </row>
    <row r="888">
      <c r="H888" s="12"/>
    </row>
    <row r="889">
      <c r="H889" s="12"/>
    </row>
    <row r="890">
      <c r="H890" s="12"/>
    </row>
    <row r="891">
      <c r="H891" s="12"/>
    </row>
    <row r="892">
      <c r="H892" s="12"/>
    </row>
    <row r="893">
      <c r="H893" s="12"/>
    </row>
    <row r="894">
      <c r="H894" s="12"/>
    </row>
    <row r="895">
      <c r="H895" s="12"/>
    </row>
    <row r="896">
      <c r="H896" s="12"/>
    </row>
    <row r="897">
      <c r="H897" s="12"/>
    </row>
    <row r="898">
      <c r="H898" s="12"/>
    </row>
    <row r="899">
      <c r="H899" s="12"/>
    </row>
    <row r="900">
      <c r="H900" s="12"/>
    </row>
    <row r="901">
      <c r="H901" s="12"/>
    </row>
    <row r="902">
      <c r="H902" s="12"/>
    </row>
    <row r="903">
      <c r="H903" s="12"/>
    </row>
    <row r="904">
      <c r="H904" s="12"/>
    </row>
    <row r="905">
      <c r="H905" s="12"/>
    </row>
    <row r="906">
      <c r="H906" s="12"/>
    </row>
    <row r="907">
      <c r="H907" s="12"/>
    </row>
    <row r="908">
      <c r="H908" s="12"/>
    </row>
    <row r="909">
      <c r="H909" s="12"/>
    </row>
    <row r="910">
      <c r="H910" s="12"/>
    </row>
    <row r="911">
      <c r="H911" s="12"/>
    </row>
    <row r="912">
      <c r="H912" s="12"/>
    </row>
    <row r="913">
      <c r="H913" s="12"/>
    </row>
    <row r="914">
      <c r="H914" s="12"/>
    </row>
    <row r="915">
      <c r="H915" s="12"/>
    </row>
    <row r="916">
      <c r="H916" s="12"/>
    </row>
    <row r="917">
      <c r="H917" s="12"/>
    </row>
    <row r="918">
      <c r="H918" s="12"/>
    </row>
    <row r="919">
      <c r="H919" s="12"/>
    </row>
    <row r="920">
      <c r="H920" s="12"/>
    </row>
    <row r="921">
      <c r="H921" s="12"/>
    </row>
    <row r="922">
      <c r="H922" s="12"/>
    </row>
    <row r="923">
      <c r="H923" s="12"/>
    </row>
    <row r="924">
      <c r="H924" s="12"/>
    </row>
    <row r="925">
      <c r="H925" s="12"/>
    </row>
    <row r="926">
      <c r="H926" s="12"/>
    </row>
    <row r="927">
      <c r="H927" s="12"/>
    </row>
    <row r="928">
      <c r="H928" s="12"/>
    </row>
    <row r="929">
      <c r="H929" s="12"/>
    </row>
    <row r="930">
      <c r="H930" s="12"/>
    </row>
    <row r="931">
      <c r="H931" s="12"/>
    </row>
    <row r="932">
      <c r="H932" s="12"/>
    </row>
    <row r="933">
      <c r="H933" s="12"/>
    </row>
    <row r="934">
      <c r="H934" s="12"/>
    </row>
    <row r="935">
      <c r="H935" s="12"/>
    </row>
    <row r="936">
      <c r="H936" s="12"/>
    </row>
    <row r="937">
      <c r="H937" s="12"/>
    </row>
    <row r="938">
      <c r="H938" s="12"/>
    </row>
    <row r="939">
      <c r="H939" s="12"/>
    </row>
    <row r="940">
      <c r="H940" s="12"/>
    </row>
    <row r="941">
      <c r="H941" s="12"/>
    </row>
    <row r="942">
      <c r="H942" s="12"/>
    </row>
    <row r="943">
      <c r="H943" s="12"/>
    </row>
    <row r="944">
      <c r="H944" s="12"/>
    </row>
    <row r="945">
      <c r="H945" s="12"/>
    </row>
    <row r="946">
      <c r="H946" s="12"/>
    </row>
    <row r="947">
      <c r="H947" s="12"/>
    </row>
    <row r="948">
      <c r="H948" s="12"/>
    </row>
    <row r="949">
      <c r="H949" s="12"/>
    </row>
    <row r="950">
      <c r="H950" s="12"/>
    </row>
    <row r="951">
      <c r="H951" s="12"/>
    </row>
    <row r="952">
      <c r="H952" s="12"/>
    </row>
    <row r="953">
      <c r="H953" s="12"/>
    </row>
    <row r="954">
      <c r="H954" s="12"/>
    </row>
    <row r="955">
      <c r="H955" s="12"/>
    </row>
    <row r="956">
      <c r="H956" s="12"/>
    </row>
    <row r="957">
      <c r="H957" s="12"/>
    </row>
    <row r="958">
      <c r="H958" s="12"/>
    </row>
    <row r="959">
      <c r="H959" s="12"/>
    </row>
    <row r="960">
      <c r="H960" s="12"/>
    </row>
    <row r="961">
      <c r="H961" s="12"/>
    </row>
    <row r="962">
      <c r="H962" s="12"/>
    </row>
    <row r="963">
      <c r="H963" s="12"/>
    </row>
    <row r="964">
      <c r="H964" s="12"/>
    </row>
    <row r="965">
      <c r="H965" s="12"/>
    </row>
    <row r="966">
      <c r="H966" s="12"/>
    </row>
    <row r="967">
      <c r="H967" s="12"/>
    </row>
    <row r="968">
      <c r="H968" s="12"/>
    </row>
    <row r="969">
      <c r="H969" s="12"/>
    </row>
    <row r="970">
      <c r="H970" s="12"/>
    </row>
    <row r="971">
      <c r="H971" s="12"/>
    </row>
    <row r="972">
      <c r="H972" s="12"/>
    </row>
    <row r="973">
      <c r="H973" s="12"/>
    </row>
    <row r="974">
      <c r="H974" s="12"/>
    </row>
    <row r="975">
      <c r="H975" s="12"/>
    </row>
    <row r="976">
      <c r="H976" s="12"/>
    </row>
    <row r="977">
      <c r="H977" s="12"/>
    </row>
    <row r="978">
      <c r="H978" s="12"/>
    </row>
    <row r="979">
      <c r="H979" s="12"/>
    </row>
    <row r="980">
      <c r="H980" s="12"/>
    </row>
    <row r="981">
      <c r="H981" s="12"/>
    </row>
    <row r="982">
      <c r="H982" s="12"/>
    </row>
    <row r="983">
      <c r="H983" s="12"/>
    </row>
    <row r="984">
      <c r="H984" s="12"/>
    </row>
    <row r="985">
      <c r="H985" s="12"/>
    </row>
    <row r="986">
      <c r="H986" s="12"/>
    </row>
    <row r="987">
      <c r="H987" s="12"/>
    </row>
    <row r="988">
      <c r="H988" s="12"/>
    </row>
    <row r="989">
      <c r="H989" s="12"/>
    </row>
    <row r="990">
      <c r="H990" s="12"/>
    </row>
    <row r="991">
      <c r="H991" s="12"/>
    </row>
    <row r="992">
      <c r="H992" s="12"/>
    </row>
    <row r="993">
      <c r="H993" s="12"/>
    </row>
    <row r="994">
      <c r="H994" s="12"/>
    </row>
    <row r="995">
      <c r="H995" s="12"/>
    </row>
    <row r="996">
      <c r="H996" s="12"/>
    </row>
    <row r="997">
      <c r="H997" s="12"/>
    </row>
    <row r="998">
      <c r="H998" s="12"/>
    </row>
    <row r="999">
      <c r="H999" s="12"/>
    </row>
    <row r="1000">
      <c r="H1000" s="1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4" t="s">
        <v>337</v>
      </c>
      <c r="B1" s="55" t="str">
        <f>IFERROR(__xludf.DUMMYFUNCTION("SPLIT(A1,CHAR(10))"),"Jordyn Tyson")</f>
        <v>Jordyn Tyson</v>
      </c>
      <c r="C1" s="55" t="str">
        <f>IFERROR(__xludf.DUMMYFUNCTION("""COMPUTED_VALUE"""),"Arizona State")</f>
        <v>Arizona State</v>
      </c>
      <c r="D1" s="56" t="s">
        <v>338</v>
      </c>
      <c r="E1" s="56" t="s">
        <v>339</v>
      </c>
      <c r="F1" s="56">
        <v>18.1</v>
      </c>
    </row>
    <row r="2">
      <c r="A2" s="54" t="s">
        <v>340</v>
      </c>
      <c r="B2" s="55" t="str">
        <f>IFERROR(__xludf.DUMMYFUNCTION("SPLIT(A2,CHAR(10))"),"Carnell Tate")</f>
        <v>Carnell Tate</v>
      </c>
      <c r="C2" s="55" t="str">
        <f>IFERROR(__xludf.DUMMYFUNCTION("""COMPUTED_VALUE"""),"Ohio State")</f>
        <v>Ohio State</v>
      </c>
      <c r="D2" s="56" t="s">
        <v>338</v>
      </c>
      <c r="E2" s="57" t="s">
        <v>341</v>
      </c>
      <c r="F2" s="58">
        <v>20.6</v>
      </c>
    </row>
    <row r="3">
      <c r="A3" s="54" t="s">
        <v>342</v>
      </c>
      <c r="B3" s="55" t="str">
        <f>IFERROR(__xludf.DUMMYFUNCTION("SPLIT(A3,CHAR(10))"),"Makai Lemon")</f>
        <v>Makai Lemon</v>
      </c>
      <c r="C3" s="55" t="str">
        <f>IFERROR(__xludf.DUMMYFUNCTION("""COMPUTED_VALUE"""),"USC")</f>
        <v>USC</v>
      </c>
      <c r="D3" s="59" t="s">
        <v>343</v>
      </c>
      <c r="E3" s="57" t="s">
        <v>341</v>
      </c>
      <c r="F3" s="58">
        <v>21.3</v>
      </c>
    </row>
    <row r="4">
      <c r="A4" s="54" t="s">
        <v>344</v>
      </c>
      <c r="B4" s="55" t="str">
        <f>IFERROR(__xludf.DUMMYFUNCTION("SPLIT(A4,CHAR(10))"),"KC Concepcion")</f>
        <v>KC Concepcion</v>
      </c>
      <c r="C4" s="55" t="str">
        <f>IFERROR(__xludf.DUMMYFUNCTION("""COMPUTED_VALUE"""),"Texas A&amp;M")</f>
        <v>Texas A&amp;M</v>
      </c>
      <c r="D4" s="59" t="s">
        <v>345</v>
      </c>
      <c r="E4" s="59" t="s">
        <v>346</v>
      </c>
      <c r="F4" s="56">
        <v>18.8</v>
      </c>
    </row>
    <row r="5">
      <c r="A5" s="54" t="s">
        <v>347</v>
      </c>
      <c r="B5" s="55" t="str">
        <f>IFERROR(__xludf.DUMMYFUNCTION("SPLIT(A5,CHAR(10))"),"Denzel Boston")</f>
        <v>Denzel Boston</v>
      </c>
      <c r="C5" s="55" t="str">
        <f>IFERROR(__xludf.DUMMYFUNCTION("""COMPUTED_VALUE"""),"Washington")</f>
        <v>Washington</v>
      </c>
      <c r="D5" s="56" t="s">
        <v>348</v>
      </c>
      <c r="E5" s="56" t="s">
        <v>349</v>
      </c>
      <c r="F5" s="58">
        <v>20.8</v>
      </c>
    </row>
    <row r="6">
      <c r="A6" s="54" t="s">
        <v>350</v>
      </c>
      <c r="B6" s="55" t="str">
        <f>IFERROR(__xludf.DUMMYFUNCTION("SPLIT(A6,CHAR(10))"),"Omar Cooper Jr.")</f>
        <v>Omar Cooper Jr.</v>
      </c>
      <c r="C6" s="55" t="str">
        <f>IFERROR(__xludf.DUMMYFUNCTION("""COMPUTED_VALUE"""),"Indiana")</f>
        <v>Indiana</v>
      </c>
      <c r="D6" s="59" t="s">
        <v>345</v>
      </c>
      <c r="E6" s="59" t="s">
        <v>351</v>
      </c>
      <c r="F6" s="58">
        <v>20.7</v>
      </c>
    </row>
    <row r="7">
      <c r="A7" s="54" t="s">
        <v>352</v>
      </c>
      <c r="B7" s="55" t="str">
        <f>IFERROR(__xludf.DUMMYFUNCTION("SPLIT(A7,CHAR(10))"),"Elijah Sarratt")</f>
        <v>Elijah Sarratt</v>
      </c>
      <c r="C7" s="55" t="str">
        <f>IFERROR(__xludf.DUMMYFUNCTION("""COMPUTED_VALUE"""),"Indiana")</f>
        <v>Indiana</v>
      </c>
      <c r="D7" s="56" t="s">
        <v>353</v>
      </c>
      <c r="E7" s="56" t="s">
        <v>354</v>
      </c>
      <c r="F7" s="58">
        <v>20.3</v>
      </c>
    </row>
    <row r="8">
      <c r="A8" s="54" t="s">
        <v>355</v>
      </c>
      <c r="B8" s="55" t="str">
        <f>IFERROR(__xludf.DUMMYFUNCTION("SPLIT(A8,CHAR(10))"),"Germie Bernard")</f>
        <v>Germie Bernard</v>
      </c>
      <c r="C8" s="55" t="str">
        <f>IFERROR(__xludf.DUMMYFUNCTION("""COMPUTED_VALUE"""),"Alabama")</f>
        <v>Alabama</v>
      </c>
      <c r="D8" s="56" t="s">
        <v>356</v>
      </c>
      <c r="E8" s="56" t="s">
        <v>357</v>
      </c>
      <c r="F8" s="58">
        <v>21.8</v>
      </c>
    </row>
    <row r="9">
      <c r="A9" s="54" t="s">
        <v>358</v>
      </c>
      <c r="B9" s="55" t="str">
        <f>IFERROR(__xludf.DUMMYFUNCTION("SPLIT(A9,CHAR(10))"),"Chris Brazzell II")</f>
        <v>Chris Brazzell II</v>
      </c>
      <c r="C9" s="55" t="str">
        <f>IFERROR(__xludf.DUMMYFUNCTION("""COMPUTED_VALUE"""),"Tennessee")</f>
        <v>Tennessee</v>
      </c>
      <c r="D9" s="56" t="s">
        <v>348</v>
      </c>
      <c r="E9" s="59" t="s">
        <v>359</v>
      </c>
      <c r="F9" s="57">
        <v>20.0</v>
      </c>
    </row>
    <row r="10">
      <c r="A10" s="54" t="s">
        <v>360</v>
      </c>
      <c r="B10" s="55" t="str">
        <f>IFERROR(__xludf.DUMMYFUNCTION("SPLIT(A10,CHAR(10))"),"Chris Bell")</f>
        <v>Chris Bell</v>
      </c>
      <c r="C10" s="55" t="str">
        <f>IFERROR(__xludf.DUMMYFUNCTION("""COMPUTED_VALUE"""),"Louisville")</f>
        <v>Louisville</v>
      </c>
      <c r="D10" s="56" t="s">
        <v>338</v>
      </c>
      <c r="E10" s="56" t="s">
        <v>361</v>
      </c>
      <c r="F10" s="58">
        <v>22.6</v>
      </c>
    </row>
    <row r="11">
      <c r="A11" s="54" t="s">
        <v>362</v>
      </c>
      <c r="B11" s="55" t="str">
        <f>IFERROR(__xludf.DUMMYFUNCTION("SPLIT(A11,CHAR(10))"),"Ja'Kobi Lane")</f>
        <v>Ja'Kobi Lane</v>
      </c>
      <c r="C11" s="55" t="str">
        <f>IFERROR(__xludf.DUMMYFUNCTION("""COMPUTED_VALUE"""),"USC")</f>
        <v>USC</v>
      </c>
      <c r="D11" s="56" t="s">
        <v>348</v>
      </c>
      <c r="E11" s="59" t="s">
        <v>363</v>
      </c>
      <c r="F11" s="58">
        <v>20.1</v>
      </c>
    </row>
    <row r="12">
      <c r="A12" s="54" t="s">
        <v>364</v>
      </c>
      <c r="B12" s="55" t="str">
        <f>IFERROR(__xludf.DUMMYFUNCTION("SPLIT(A12,CHAR(10))"),"Malachi Fields")</f>
        <v>Malachi Fields</v>
      </c>
      <c r="C12" s="55" t="str">
        <f>IFERROR(__xludf.DUMMYFUNCTION("""COMPUTED_VALUE"""),"Notre Dame")</f>
        <v>Notre Dame</v>
      </c>
      <c r="D12" s="56" t="s">
        <v>365</v>
      </c>
      <c r="E12" s="56" t="s">
        <v>366</v>
      </c>
      <c r="F12" s="58">
        <v>20.2</v>
      </c>
    </row>
    <row r="13">
      <c r="A13" s="54" t="s">
        <v>367</v>
      </c>
      <c r="B13" s="55" t="str">
        <f>IFERROR(__xludf.DUMMYFUNCTION("SPLIT(A13,CHAR(10))"),"Zachariah Branch")</f>
        <v>Zachariah Branch</v>
      </c>
      <c r="C13" s="55" t="str">
        <f>IFERROR(__xludf.DUMMYFUNCTION("""COMPUTED_VALUE"""),"Georgia")</f>
        <v>Georgia</v>
      </c>
      <c r="D13" s="57" t="s">
        <v>368</v>
      </c>
      <c r="E13" s="58" t="s">
        <v>369</v>
      </c>
      <c r="F13" s="58">
        <v>21.4</v>
      </c>
    </row>
    <row r="14">
      <c r="A14" s="54" t="s">
        <v>370</v>
      </c>
      <c r="B14" s="55" t="str">
        <f>IFERROR(__xludf.DUMMYFUNCTION("SPLIT(A14,CHAR(10))"),"Antonio Williams")</f>
        <v>Antonio Williams</v>
      </c>
      <c r="C14" s="55" t="str">
        <f>IFERROR(__xludf.DUMMYFUNCTION("""COMPUTED_VALUE"""),"Clemson")</f>
        <v>Clemson</v>
      </c>
      <c r="D14" s="59" t="s">
        <v>345</v>
      </c>
      <c r="E14" s="57" t="s">
        <v>371</v>
      </c>
      <c r="F14" s="59">
        <v>19.1</v>
      </c>
    </row>
    <row r="15">
      <c r="A15" s="54" t="s">
        <v>372</v>
      </c>
      <c r="B15" s="55" t="str">
        <f>IFERROR(__xludf.DUMMYFUNCTION("SPLIT(A15,CHAR(10))"),"Skyler Bell")</f>
        <v>Skyler Bell</v>
      </c>
      <c r="C15" s="55" t="str">
        <f>IFERROR(__xludf.DUMMYFUNCTION("""COMPUTED_VALUE"""),"Connecticut")</f>
        <v>Connecticut</v>
      </c>
      <c r="D15" s="59" t="s">
        <v>345</v>
      </c>
      <c r="E15" s="57" t="s">
        <v>341</v>
      </c>
      <c r="F15" s="58">
        <v>20.2</v>
      </c>
    </row>
    <row r="16">
      <c r="A16" s="54" t="s">
        <v>373</v>
      </c>
      <c r="B16" s="55" t="str">
        <f>IFERROR(__xludf.DUMMYFUNCTION("SPLIT(A16,CHAR(10))"),"Bryce Lance")</f>
        <v>Bryce Lance</v>
      </c>
      <c r="C16" s="55" t="str">
        <f>IFERROR(__xludf.DUMMYFUNCTION("""COMPUTED_VALUE"""),"North Dakota State")</f>
        <v>North Dakota State</v>
      </c>
      <c r="D16" s="56" t="s">
        <v>353</v>
      </c>
      <c r="E16" s="56" t="s">
        <v>374</v>
      </c>
      <c r="F16" s="58" t="s">
        <v>375</v>
      </c>
    </row>
    <row r="17">
      <c r="A17" s="54" t="s">
        <v>376</v>
      </c>
      <c r="B17" s="55" t="str">
        <f>IFERROR(__xludf.DUMMYFUNCTION("SPLIT(A17,CHAR(10))"),"Ted Hurst")</f>
        <v>Ted Hurst</v>
      </c>
      <c r="C17" s="55" t="str">
        <f>IFERROR(__xludf.DUMMYFUNCTION("""COMPUTED_VALUE"""),"Georgia State")</f>
        <v>Georgia State</v>
      </c>
      <c r="D17" s="56" t="s">
        <v>348</v>
      </c>
      <c r="E17" s="56" t="s">
        <v>357</v>
      </c>
      <c r="F17" s="58">
        <v>20.2</v>
      </c>
    </row>
    <row r="18">
      <c r="A18" s="54" t="s">
        <v>377</v>
      </c>
      <c r="B18" s="55" t="str">
        <f>IFERROR(__xludf.DUMMYFUNCTION("SPLIT(A18,CHAR(10))"),"Deion Burks")</f>
        <v>Deion Burks</v>
      </c>
      <c r="C18" s="55" t="str">
        <f>IFERROR(__xludf.DUMMYFUNCTION("""COMPUTED_VALUE"""),"Oklahoma")</f>
        <v>Oklahoma</v>
      </c>
      <c r="D18" s="57" t="s">
        <v>378</v>
      </c>
      <c r="E18" s="58" t="s">
        <v>379</v>
      </c>
      <c r="F18" s="58">
        <v>20.7</v>
      </c>
    </row>
    <row r="19">
      <c r="A19" s="54" t="s">
        <v>380</v>
      </c>
      <c r="B19" s="55" t="str">
        <f>IFERROR(__xludf.DUMMYFUNCTION("SPLIT(A19,CHAR(10))"),"Brenen Thompson")</f>
        <v>Brenen Thompson</v>
      </c>
      <c r="C19" s="55" t="str">
        <f>IFERROR(__xludf.DUMMYFUNCTION("""COMPUTED_VALUE"""),"Mississippi State")</f>
        <v>Mississippi State</v>
      </c>
      <c r="D19" s="57" t="s">
        <v>368</v>
      </c>
      <c r="E19" s="58" t="s">
        <v>381</v>
      </c>
      <c r="F19" s="58">
        <v>22.1</v>
      </c>
    </row>
    <row r="20">
      <c r="A20" s="54" t="s">
        <v>382</v>
      </c>
      <c r="B20" s="55" t="str">
        <f>IFERROR(__xludf.DUMMYFUNCTION("SPLIT(A20,CHAR(10))"),"De'Zhaun Stribling")</f>
        <v>De'Zhaun Stribling</v>
      </c>
      <c r="C20" s="55" t="str">
        <f>IFERROR(__xludf.DUMMYFUNCTION("""COMPUTED_VALUE"""),"Ole Miss")</f>
        <v>Ole Miss</v>
      </c>
      <c r="D20" s="56" t="s">
        <v>338</v>
      </c>
      <c r="E20" s="56" t="s">
        <v>383</v>
      </c>
      <c r="F20" s="57">
        <v>19.7</v>
      </c>
    </row>
    <row r="21">
      <c r="A21" s="54" t="s">
        <v>384</v>
      </c>
      <c r="B21" s="55" t="str">
        <f>IFERROR(__xludf.DUMMYFUNCTION("SPLIT(A21,CHAR(10))"),"Caleb Douglas")</f>
        <v>Caleb Douglas</v>
      </c>
      <c r="C21" s="55" t="str">
        <f>IFERROR(__xludf.DUMMYFUNCTION("""COMPUTED_VALUE"""),"Texas Tech")</f>
        <v>Texas Tech</v>
      </c>
      <c r="D21" s="56" t="s">
        <v>348</v>
      </c>
      <c r="E21" s="56" t="s">
        <v>357</v>
      </c>
      <c r="F21" s="56">
        <v>19.0</v>
      </c>
    </row>
    <row r="22">
      <c r="A22" s="54" t="s">
        <v>385</v>
      </c>
      <c r="B22" s="55" t="str">
        <f>IFERROR(__xludf.DUMMYFUNCTION("SPLIT(A22,CHAR(10))"),"Zavion Thomas")</f>
        <v>Zavion Thomas</v>
      </c>
      <c r="C22" s="55" t="str">
        <f>IFERROR(__xludf.DUMMYFUNCTION("""COMPUTED_VALUE"""),"LSU")</f>
        <v>LSU</v>
      </c>
      <c r="D22" s="57" t="s">
        <v>378</v>
      </c>
      <c r="E22" s="57" t="s">
        <v>386</v>
      </c>
      <c r="F22" s="58" t="s">
        <v>375</v>
      </c>
    </row>
    <row r="23">
      <c r="A23" s="54" t="s">
        <v>387</v>
      </c>
      <c r="B23" s="55" t="str">
        <f>IFERROR(__xludf.DUMMYFUNCTION("SPLIT(A23,CHAR(10))"),"Kaden Wetjen")</f>
        <v>Kaden Wetjen</v>
      </c>
      <c r="C23" s="55" t="str">
        <f>IFERROR(__xludf.DUMMYFUNCTION("""COMPUTED_VALUE"""),"Iowa")</f>
        <v>Iowa</v>
      </c>
      <c r="D23" s="57" t="s">
        <v>368</v>
      </c>
      <c r="E23" s="57" t="s">
        <v>388</v>
      </c>
      <c r="F23" s="58" t="s">
        <v>375</v>
      </c>
    </row>
    <row r="24">
      <c r="A24" s="54" t="s">
        <v>389</v>
      </c>
      <c r="B24" s="55" t="str">
        <f>IFERROR(__xludf.DUMMYFUNCTION("SPLIT(A24,CHAR(10))"),"Colbie Young")</f>
        <v>Colbie Young</v>
      </c>
      <c r="C24" s="55" t="str">
        <f>IFERROR(__xludf.DUMMYFUNCTION("""COMPUTED_VALUE"""),"Georgia")</f>
        <v>Georgia</v>
      </c>
      <c r="D24" s="56" t="s">
        <v>365</v>
      </c>
      <c r="E24" s="56" t="s">
        <v>366</v>
      </c>
      <c r="F24" s="58">
        <v>20.1</v>
      </c>
    </row>
    <row r="25">
      <c r="A25" s="54" t="s">
        <v>390</v>
      </c>
      <c r="B25" s="55" t="str">
        <f>IFERROR(__xludf.DUMMYFUNCTION("SPLIT(A25,CHAR(10))"),"Reggie Virgil")</f>
        <v>Reggie Virgil</v>
      </c>
      <c r="C25" s="55" t="str">
        <f>IFERROR(__xludf.DUMMYFUNCTION("""COMPUTED_VALUE"""),"Texas Tech")</f>
        <v>Texas Tech</v>
      </c>
      <c r="D25" s="56" t="s">
        <v>353</v>
      </c>
      <c r="E25" s="57" t="s">
        <v>371</v>
      </c>
      <c r="F25" s="58">
        <v>20.3</v>
      </c>
    </row>
    <row r="26">
      <c r="A26" s="54" t="s">
        <v>391</v>
      </c>
      <c r="B26" s="55" t="str">
        <f>IFERROR(__xludf.DUMMYFUNCTION("SPLIT(A26,CHAR(10))"),"Kendrick Law")</f>
        <v>Kendrick Law</v>
      </c>
      <c r="C26" s="55" t="str">
        <f>IFERROR(__xludf.DUMMYFUNCTION("""COMPUTED_VALUE"""),"Kentucky")</f>
        <v>Kentucky</v>
      </c>
      <c r="D26" s="59" t="s">
        <v>343</v>
      </c>
      <c r="E26" s="56" t="s">
        <v>339</v>
      </c>
      <c r="F26" s="58">
        <v>22.2</v>
      </c>
    </row>
    <row r="27">
      <c r="A27" s="54" t="s">
        <v>392</v>
      </c>
      <c r="B27" s="55" t="str">
        <f>IFERROR(__xludf.DUMMYFUNCTION("SPLIT(A27,CHAR(10))"),"Kevin Coleman Jr.")</f>
        <v>Kevin Coleman Jr.</v>
      </c>
      <c r="C27" s="55" t="str">
        <f>IFERROR(__xludf.DUMMYFUNCTION("""COMPUTED_VALUE"""),"Missouri")</f>
        <v>Missouri</v>
      </c>
      <c r="D27" s="57" t="s">
        <v>378</v>
      </c>
      <c r="E27" s="58" t="s">
        <v>393</v>
      </c>
      <c r="F27" s="58">
        <v>21.0</v>
      </c>
    </row>
    <row r="28">
      <c r="A28" s="54" t="s">
        <v>394</v>
      </c>
      <c r="B28" s="55" t="str">
        <f>IFERROR(__xludf.DUMMYFUNCTION("SPLIT(A28,CHAR(10))"),"Barion Brown")</f>
        <v>Barion Brown</v>
      </c>
      <c r="C28" s="55" t="str">
        <f>IFERROR(__xludf.DUMMYFUNCTION("""COMPUTED_VALUE"""),"LSU")</f>
        <v>LSU</v>
      </c>
      <c r="D28" s="59" t="s">
        <v>343</v>
      </c>
      <c r="E28" s="58" t="s">
        <v>369</v>
      </c>
      <c r="F28" s="56">
        <v>18.7</v>
      </c>
    </row>
    <row r="29">
      <c r="A29" s="54" t="s">
        <v>395</v>
      </c>
      <c r="B29" s="55" t="str">
        <f>IFERROR(__xludf.DUMMYFUNCTION("SPLIT(A29,CHAR(10))"),"Josh Cameron")</f>
        <v>Josh Cameron</v>
      </c>
      <c r="C29" s="55" t="str">
        <f>IFERROR(__xludf.DUMMYFUNCTION("""COMPUTED_VALUE"""),"Baylor")</f>
        <v>Baylor</v>
      </c>
      <c r="D29" s="56" t="s">
        <v>338</v>
      </c>
      <c r="E29" s="56" t="s">
        <v>396</v>
      </c>
      <c r="F29" s="58">
        <v>21.5</v>
      </c>
    </row>
    <row r="30">
      <c r="A30" s="54" t="s">
        <v>397</v>
      </c>
      <c r="B30" s="55" t="str">
        <f>IFERROR(__xludf.DUMMYFUNCTION("SPLIT(A30,CHAR(10))"),"Emmanuel Henderson Jr.")</f>
        <v>Emmanuel Henderson Jr.</v>
      </c>
      <c r="C30" s="55" t="str">
        <f>IFERROR(__xludf.DUMMYFUNCTION("""COMPUTED_VALUE"""),"Kansas")</f>
        <v>Kansas</v>
      </c>
      <c r="D30" s="56" t="s">
        <v>356</v>
      </c>
      <c r="E30" s="58" t="s">
        <v>398</v>
      </c>
      <c r="F30" s="58">
        <v>22.5</v>
      </c>
    </row>
    <row r="31">
      <c r="A31" s="54" t="s">
        <v>399</v>
      </c>
      <c r="B31" s="55" t="str">
        <f>IFERROR(__xludf.DUMMYFUNCTION("SPLIT(A31,CHAR(10))"),"Malik Benson")</f>
        <v>Malik Benson</v>
      </c>
      <c r="C31" s="55" t="str">
        <f>IFERROR(__xludf.DUMMYFUNCTION("""COMPUTED_VALUE"""),"Oregon")</f>
        <v>Oregon</v>
      </c>
      <c r="D31" s="59" t="s">
        <v>345</v>
      </c>
      <c r="E31" s="57" t="s">
        <v>400</v>
      </c>
      <c r="F31" s="58" t="s">
        <v>375</v>
      </c>
    </row>
    <row r="32">
      <c r="A32" s="54" t="s">
        <v>401</v>
      </c>
      <c r="B32" s="55" t="str">
        <f>IFERROR(__xludf.DUMMYFUNCTION("SPLIT(A32,CHAR(10))"),"CJ Daniels")</f>
        <v>CJ Daniels</v>
      </c>
      <c r="C32" s="55" t="str">
        <f>IFERROR(__xludf.DUMMYFUNCTION("""COMPUTED_VALUE"""),"Miami")</f>
        <v>Miami</v>
      </c>
      <c r="D32" s="56" t="s">
        <v>338</v>
      </c>
      <c r="E32" s="56" t="s">
        <v>402</v>
      </c>
      <c r="F32" s="57">
        <v>19.7</v>
      </c>
    </row>
    <row r="33">
      <c r="A33" s="54" t="s">
        <v>403</v>
      </c>
      <c r="B33" s="55" t="str">
        <f>IFERROR(__xludf.DUMMYFUNCTION("SPLIT(A33,CHAR(10))"),"Caullin Lacy")</f>
        <v>Caullin Lacy</v>
      </c>
      <c r="C33" s="55" t="str">
        <f>IFERROR(__xludf.DUMMYFUNCTION("""COMPUTED_VALUE"""),"Louisville")</f>
        <v>Louisville</v>
      </c>
      <c r="D33" s="57" t="s">
        <v>368</v>
      </c>
      <c r="E33" s="58" t="s">
        <v>404</v>
      </c>
      <c r="F33" s="58">
        <v>20.7</v>
      </c>
    </row>
    <row r="34">
      <c r="A34" s="54" t="s">
        <v>405</v>
      </c>
      <c r="B34" s="55" t="str">
        <f>IFERROR(__xludf.DUMMYFUNCTION("SPLIT(A34,CHAR(10))"),"Donaven McCulley")</f>
        <v>Donaven McCulley</v>
      </c>
      <c r="C34" s="55" t="str">
        <f>IFERROR(__xludf.DUMMYFUNCTION("""COMPUTED_VALUE"""),"Michigan")</f>
        <v>Michigan</v>
      </c>
      <c r="D34" s="56" t="s">
        <v>365</v>
      </c>
      <c r="E34" s="56" t="s">
        <v>339</v>
      </c>
      <c r="F34" s="58">
        <v>20.6</v>
      </c>
    </row>
    <row r="35">
      <c r="A35" s="54" t="s">
        <v>406</v>
      </c>
      <c r="B35" s="55" t="str">
        <f>IFERROR(__xludf.DUMMYFUNCTION("SPLIT(A35,CHAR(10))"),"Chris Hilton Jr.")</f>
        <v>Chris Hilton Jr.</v>
      </c>
      <c r="C35" s="55" t="str">
        <f>IFERROR(__xludf.DUMMYFUNCTION("""COMPUTED_VALUE"""),"LSU")</f>
        <v>LSU</v>
      </c>
      <c r="D35" s="59" t="s">
        <v>345</v>
      </c>
      <c r="E35" s="57" t="s">
        <v>407</v>
      </c>
      <c r="F35" s="58">
        <v>21.9</v>
      </c>
    </row>
    <row r="36">
      <c r="A36" s="54" t="s">
        <v>408</v>
      </c>
      <c r="B36" s="55" t="str">
        <f>IFERROR(__xludf.DUMMYFUNCTION("SPLIT(A36,CHAR(10))"),"J. Michael Sturdivant")</f>
        <v>J. Michael Sturdivant</v>
      </c>
      <c r="C36" s="55" t="str">
        <f>IFERROR(__xludf.DUMMYFUNCTION("""COMPUTED_VALUE"""),"Florida")</f>
        <v>Florida</v>
      </c>
      <c r="D36" s="56" t="s">
        <v>353</v>
      </c>
      <c r="E36" s="56" t="s">
        <v>383</v>
      </c>
      <c r="F36" s="57">
        <v>20.0</v>
      </c>
    </row>
    <row r="37">
      <c r="A37" s="54" t="s">
        <v>409</v>
      </c>
      <c r="B37" s="55" t="str">
        <f>IFERROR(__xludf.DUMMYFUNCTION("SPLIT(A37,CHAR(10))"),"Harrison Wallace III")</f>
        <v>Harrison Wallace III</v>
      </c>
      <c r="C37" s="55" t="str">
        <f>IFERROR(__xludf.DUMMYFUNCTION("""COMPUTED_VALUE"""),"Ole Miss")</f>
        <v>Ole Miss</v>
      </c>
      <c r="D37" s="59" t="s">
        <v>345</v>
      </c>
      <c r="E37" s="57" t="s">
        <v>341</v>
      </c>
      <c r="F37" s="58" t="s">
        <v>375</v>
      </c>
    </row>
    <row r="38">
      <c r="A38" s="54" t="s">
        <v>410</v>
      </c>
      <c r="B38" s="55" t="str">
        <f>IFERROR(__xludf.DUMMYFUNCTION("SPLIT(A38,CHAR(10))"),"Jalen Walthall")</f>
        <v>Jalen Walthall</v>
      </c>
      <c r="C38" s="55" t="str">
        <f>IFERROR(__xludf.DUMMYFUNCTION("""COMPUTED_VALUE"""),"Hawaii")</f>
        <v>Hawaii</v>
      </c>
      <c r="D38" s="56" t="s">
        <v>356</v>
      </c>
      <c r="E38" s="57" t="s">
        <v>411</v>
      </c>
      <c r="F38" s="58" t="s">
        <v>375</v>
      </c>
    </row>
    <row r="39">
      <c r="A39" s="54" t="s">
        <v>412</v>
      </c>
      <c r="B39" s="55" t="str">
        <f>IFERROR(__xludf.DUMMYFUNCTION("SPLIT(A39,CHAR(10))"),"Eric Rivers")</f>
        <v>Eric Rivers</v>
      </c>
      <c r="C39" s="55" t="str">
        <f>IFERROR(__xludf.DUMMYFUNCTION("""COMPUTED_VALUE"""),"Georgia Tech")</f>
        <v>Georgia Tech</v>
      </c>
      <c r="D39" s="57" t="s">
        <v>378</v>
      </c>
      <c r="E39" s="58" t="s">
        <v>413</v>
      </c>
      <c r="F39" s="58">
        <v>22.0</v>
      </c>
    </row>
    <row r="40">
      <c r="A40" s="54" t="s">
        <v>414</v>
      </c>
      <c r="B40" s="55" t="str">
        <f>IFERROR(__xludf.DUMMYFUNCTION("SPLIT(A40,CHAR(10))"),"Eric McAlister")</f>
        <v>Eric McAlister</v>
      </c>
      <c r="C40" s="55" t="str">
        <f>IFERROR(__xludf.DUMMYFUNCTION("""COMPUTED_VALUE"""),"TCU")</f>
        <v>TCU</v>
      </c>
      <c r="D40" s="56" t="s">
        <v>348</v>
      </c>
      <c r="E40" s="57" t="s">
        <v>415</v>
      </c>
      <c r="F40" s="57">
        <v>19.8</v>
      </c>
    </row>
    <row r="41">
      <c r="A41" s="54" t="s">
        <v>416</v>
      </c>
      <c r="B41" s="55" t="str">
        <f>IFERROR(__xludf.DUMMYFUNCTION("SPLIT(A41,CHAR(10))"),"Chase Roberts")</f>
        <v>Chase Roberts</v>
      </c>
      <c r="C41" s="55" t="str">
        <f>IFERROR(__xludf.DUMMYFUNCTION("""COMPUTED_VALUE"""),"BYU")</f>
        <v>BYU</v>
      </c>
      <c r="D41" s="56" t="s">
        <v>353</v>
      </c>
      <c r="E41" s="56" t="s">
        <v>417</v>
      </c>
      <c r="F41" s="58">
        <v>23.6</v>
      </c>
    </row>
    <row r="42">
      <c r="A42" s="54" t="s">
        <v>418</v>
      </c>
      <c r="B42" s="55" t="str">
        <f>IFERROR(__xludf.DUMMYFUNCTION("SPLIT(A42,CHAR(10))"),"Jordan Hudson")</f>
        <v>Jordan Hudson</v>
      </c>
      <c r="C42" s="55" t="str">
        <f>IFERROR(__xludf.DUMMYFUNCTION("""COMPUTED_VALUE"""),"SMU")</f>
        <v>SMU</v>
      </c>
      <c r="D42" s="56" t="s">
        <v>356</v>
      </c>
      <c r="E42" s="57" t="s">
        <v>411</v>
      </c>
      <c r="F42" s="58">
        <v>21.8</v>
      </c>
    </row>
    <row r="43">
      <c r="A43" s="54" t="s">
        <v>419</v>
      </c>
      <c r="B43" s="55" t="str">
        <f>IFERROR(__xludf.DUMMYFUNCTION("SPLIT(A43,CHAR(10))"),"Aaron Anderson")</f>
        <v>Aaron Anderson</v>
      </c>
      <c r="C43" s="55" t="str">
        <f>IFERROR(__xludf.DUMMYFUNCTION("""COMPUTED_VALUE"""),"LSU")</f>
        <v>LSU</v>
      </c>
      <c r="D43" s="58" t="s">
        <v>420</v>
      </c>
      <c r="E43" s="57" t="s">
        <v>411</v>
      </c>
      <c r="F43" s="58" t="s">
        <v>375</v>
      </c>
    </row>
    <row r="44">
      <c r="A44" s="54" t="s">
        <v>421</v>
      </c>
      <c r="B44" s="55" t="str">
        <f>IFERROR(__xludf.DUMMYFUNCTION("SPLIT(A44,CHAR(10))"),"Dillon Bell")</f>
        <v>Dillon Bell</v>
      </c>
      <c r="C44" s="55" t="str">
        <f>IFERROR(__xludf.DUMMYFUNCTION("""COMPUTED_VALUE"""),"Georgia")</f>
        <v>Georgia</v>
      </c>
      <c r="D44" s="56" t="s">
        <v>356</v>
      </c>
      <c r="E44" s="56" t="s">
        <v>417</v>
      </c>
      <c r="F44" s="58" t="s">
        <v>375</v>
      </c>
    </row>
    <row r="45">
      <c r="A45" s="54" t="s">
        <v>422</v>
      </c>
      <c r="B45" s="55" t="str">
        <f>IFERROR(__xludf.DUMMYFUNCTION("SPLIT(A45,CHAR(10))"),"Vinny Anthony II")</f>
        <v>Vinny Anthony II</v>
      </c>
      <c r="C45" s="55" t="str">
        <f>IFERROR(__xludf.DUMMYFUNCTION("""COMPUTED_VALUE"""),"Wisconsin")</f>
        <v>Wisconsin</v>
      </c>
      <c r="D45" s="59" t="s">
        <v>345</v>
      </c>
      <c r="E45" s="58" t="s">
        <v>404</v>
      </c>
      <c r="F45" s="58">
        <v>20.2</v>
      </c>
    </row>
    <row r="46">
      <c r="A46" s="54" t="s">
        <v>423</v>
      </c>
      <c r="B46" s="55" t="str">
        <f>IFERROR(__xludf.DUMMYFUNCTION("SPLIT(A46,CHAR(10))"),"Jeff Caldwell")</f>
        <v>Jeff Caldwell</v>
      </c>
      <c r="C46" s="55" t="str">
        <f>IFERROR(__xludf.DUMMYFUNCTION("""COMPUTED_VALUE"""),"Cincinnati")</f>
        <v>Cincinnati</v>
      </c>
      <c r="D46" s="56" t="s">
        <v>365</v>
      </c>
      <c r="E46" s="56" t="s">
        <v>424</v>
      </c>
      <c r="F46" s="58" t="s">
        <v>375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</hyperlinks>
  <drawing r:id="rId47"/>
</worksheet>
</file>