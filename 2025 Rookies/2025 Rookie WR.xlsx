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 Receivers" sheetId="1" r:id="rId5"/>
    <sheet state="visible" name="Draft Pick" sheetId="2" r:id="rId6"/>
    <sheet state="visible" name="Vacated Targets" sheetId="3" r:id="rId7"/>
  </sheets>
  <definedNames/>
  <calcPr/>
</workbook>
</file>

<file path=xl/sharedStrings.xml><?xml version="1.0" encoding="utf-8"?>
<sst xmlns="http://schemas.openxmlformats.org/spreadsheetml/2006/main" count="288" uniqueCount="147">
  <si>
    <t>Player</t>
  </si>
  <si>
    <t>School</t>
  </si>
  <si>
    <t>DraftNumber</t>
  </si>
  <si>
    <t>Team</t>
  </si>
  <si>
    <t>Vac.Tar</t>
  </si>
  <si>
    <t>GP</t>
  </si>
  <si>
    <t>REC</t>
  </si>
  <si>
    <t>YDS</t>
  </si>
  <si>
    <t>Y/C</t>
  </si>
  <si>
    <t>LNG</t>
  </si>
  <si>
    <t>TD</t>
  </si>
  <si>
    <t>ATT</t>
  </si>
  <si>
    <t>Y/A</t>
  </si>
  <si>
    <t>FUM</t>
  </si>
  <si>
    <t>Age</t>
  </si>
  <si>
    <t>Height</t>
  </si>
  <si>
    <t>Breakout Age</t>
  </si>
  <si>
    <t>Rec%</t>
  </si>
  <si>
    <t>YD%</t>
  </si>
  <si>
    <t>TD%</t>
  </si>
  <si>
    <t>DOM%</t>
  </si>
  <si>
    <t>Travis Hunter</t>
  </si>
  <si>
    <t>Colorado</t>
  </si>
  <si>
    <t>JAX</t>
  </si>
  <si>
    <t>Tetairoa McMillan</t>
  </si>
  <si>
    <t>Arizona</t>
  </si>
  <si>
    <t>CAR</t>
  </si>
  <si>
    <t>Emeka Egbuka</t>
  </si>
  <si>
    <t>Ohio State</t>
  </si>
  <si>
    <t>TB</t>
  </si>
  <si>
    <t>Matthew Golden</t>
  </si>
  <si>
    <t>Texas</t>
  </si>
  <si>
    <t>GB</t>
  </si>
  <si>
    <t>Jayden Higgins</t>
  </si>
  <si>
    <t>Iowa State</t>
  </si>
  <si>
    <t>HOU</t>
  </si>
  <si>
    <t>Luther Burden</t>
  </si>
  <si>
    <t>Missouri</t>
  </si>
  <si>
    <t>CHI</t>
  </si>
  <si>
    <t>Tre Harris</t>
  </si>
  <si>
    <t>Ole Miss</t>
  </si>
  <si>
    <t>LAC</t>
  </si>
  <si>
    <t>Jack Bech</t>
  </si>
  <si>
    <t>TCU</t>
  </si>
  <si>
    <t>LV</t>
  </si>
  <si>
    <t>Kyle Williams</t>
  </si>
  <si>
    <t>Washington State</t>
  </si>
  <si>
    <t>NE</t>
  </si>
  <si>
    <t>Isaac TeSlaa</t>
  </si>
  <si>
    <t>Arkansas</t>
  </si>
  <si>
    <t>DET</t>
  </si>
  <si>
    <t>Pat Bryant</t>
  </si>
  <si>
    <t>Illinois</t>
  </si>
  <si>
    <t>DEN</t>
  </si>
  <si>
    <t>Jaylin Noel</t>
  </si>
  <si>
    <t>Savion Williams</t>
  </si>
  <si>
    <t>Tai Felton</t>
  </si>
  <si>
    <t>Maryland</t>
  </si>
  <si>
    <t>MIN</t>
  </si>
  <si>
    <t>Chimere Dike</t>
  </si>
  <si>
    <t>Florida</t>
  </si>
  <si>
    <t>TEN</t>
  </si>
  <si>
    <t>Dont'e Thornton</t>
  </si>
  <si>
    <t>Tennessee</t>
  </si>
  <si>
    <t>Arian Smith</t>
  </si>
  <si>
    <t>Georgia</t>
  </si>
  <si>
    <t>NYJ</t>
  </si>
  <si>
    <t>Jaylin Lane</t>
  </si>
  <si>
    <t>Virginia Tech</t>
  </si>
  <si>
    <t>WAS</t>
  </si>
  <si>
    <t>Jalen Royals</t>
  </si>
  <si>
    <t>Utah State</t>
  </si>
  <si>
    <t>KC</t>
  </si>
  <si>
    <t>Elic Ayomanor</t>
  </si>
  <si>
    <t>Stanford</t>
  </si>
  <si>
    <t>Jordan Watkins</t>
  </si>
  <si>
    <t>SF</t>
  </si>
  <si>
    <t>KeAndre Lambert-Smith</t>
  </si>
  <si>
    <t>Auburn</t>
  </si>
  <si>
    <t>Tory Horton</t>
  </si>
  <si>
    <t>Colorado State</t>
  </si>
  <si>
    <t>SEA</t>
  </si>
  <si>
    <t>LaJohntay Wester</t>
  </si>
  <si>
    <t>BAL</t>
  </si>
  <si>
    <t>Jimmy Horn</t>
  </si>
  <si>
    <t>Tez Johnson</t>
  </si>
  <si>
    <t>Oregon</t>
  </si>
  <si>
    <t>Ricky White</t>
  </si>
  <si>
    <t>UNLV</t>
  </si>
  <si>
    <t>Kaden Prather</t>
  </si>
  <si>
    <t>BUF</t>
  </si>
  <si>
    <t>Konata Mumpfield</t>
  </si>
  <si>
    <t>Pittsburgh</t>
  </si>
  <si>
    <t>LAR</t>
  </si>
  <si>
    <t>Dominic Lovett</t>
  </si>
  <si>
    <t>Isaiah Bond</t>
  </si>
  <si>
    <t>N/A</t>
  </si>
  <si>
    <t>CLE</t>
  </si>
  <si>
    <t>Theo Wease Jr.</t>
  </si>
  <si>
    <t>MIA</t>
  </si>
  <si>
    <t>Xavier Restrepo</t>
  </si>
  <si>
    <t>Miami</t>
  </si>
  <si>
    <t>NA</t>
  </si>
  <si>
    <t>Isaiah Neyor</t>
  </si>
  <si>
    <t>Nebraska</t>
  </si>
  <si>
    <t>Josh Kelly</t>
  </si>
  <si>
    <t>Texas Tech</t>
  </si>
  <si>
    <t>DAL</t>
  </si>
  <si>
    <t>Nick Nash</t>
  </si>
  <si>
    <t>San Jose State</t>
  </si>
  <si>
    <t>ATL</t>
  </si>
  <si>
    <t>Da'Quan Felton</t>
  </si>
  <si>
    <t>NYG</t>
  </si>
  <si>
    <t>Traeshon Holden</t>
  </si>
  <si>
    <t>Elijhah Badger</t>
  </si>
  <si>
    <t>Kobe Hudson</t>
  </si>
  <si>
    <t>UCF</t>
  </si>
  <si>
    <t>Sam Brown Jr.</t>
  </si>
  <si>
    <t>Antwane Wells Jr.</t>
  </si>
  <si>
    <t>Daniel Jackson</t>
  </si>
  <si>
    <t>Minnesota</t>
  </si>
  <si>
    <t>Jacolby George</t>
  </si>
  <si>
    <t>Beaux Collins</t>
  </si>
  <si>
    <t>Notre Dame</t>
  </si>
  <si>
    <t>Ja'Corey Brooks</t>
  </si>
  <si>
    <t>Louisville</t>
  </si>
  <si>
    <t>-</t>
  </si>
  <si>
    <t>Roc Taylor</t>
  </si>
  <si>
    <t>Memphis</t>
  </si>
  <si>
    <t>PIT</t>
  </si>
  <si>
    <t>Andrew Armstrong</t>
  </si>
  <si>
    <t>pfr_player_name</t>
  </si>
  <si>
    <t>round</t>
  </si>
  <si>
    <t>pick</t>
  </si>
  <si>
    <t>team</t>
  </si>
  <si>
    <t>TAM</t>
  </si>
  <si>
    <t>GNB</t>
  </si>
  <si>
    <t>LVR</t>
  </si>
  <si>
    <t>NWE</t>
  </si>
  <si>
    <t>KAN</t>
  </si>
  <si>
    <t>SFO</t>
  </si>
  <si>
    <t>Junior Bergen</t>
  </si>
  <si>
    <t>ARI</t>
  </si>
  <si>
    <t>CIN</t>
  </si>
  <si>
    <t>IND</t>
  </si>
  <si>
    <t>NO</t>
  </si>
  <si>
    <t>PHI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</si>
</sst>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Montserrat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</v>
      </c>
      <c r="N1" s="1" t="s">
        <v>12</v>
      </c>
      <c r="O1" s="1" t="s">
        <v>9</v>
      </c>
      <c r="P1" s="1" t="s">
        <v>10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3"/>
      <c r="Z1" s="3"/>
      <c r="AA1" s="3"/>
      <c r="AB1" s="3"/>
    </row>
    <row r="2">
      <c r="A2" s="1" t="s">
        <v>21</v>
      </c>
      <c r="B2" s="1" t="s">
        <v>22</v>
      </c>
      <c r="C2" s="1">
        <v>2.0</v>
      </c>
      <c r="D2" s="1" t="s">
        <v>23</v>
      </c>
      <c r="E2" s="1">
        <v>13.0</v>
      </c>
      <c r="F2" s="1">
        <v>13.0</v>
      </c>
      <c r="G2" s="1">
        <v>96.0</v>
      </c>
      <c r="H2" s="1">
        <v>1258.0</v>
      </c>
      <c r="I2" s="1">
        <v>13.1</v>
      </c>
      <c r="J2" s="1">
        <v>58.0</v>
      </c>
      <c r="K2" s="1">
        <v>15.0</v>
      </c>
      <c r="L2" s="1">
        <v>2.0</v>
      </c>
      <c r="M2" s="1">
        <v>5.0</v>
      </c>
      <c r="N2" s="1">
        <v>2.5</v>
      </c>
      <c r="O2" s="1">
        <v>5.0</v>
      </c>
      <c r="P2" s="1">
        <v>1.0</v>
      </c>
      <c r="Q2" s="2">
        <v>0.0</v>
      </c>
      <c r="R2" s="3">
        <v>21.9</v>
      </c>
      <c r="S2" s="3">
        <v>73.0</v>
      </c>
      <c r="T2" s="3">
        <v>20.3</v>
      </c>
      <c r="U2" s="4">
        <v>0.27</v>
      </c>
      <c r="V2" s="4">
        <v>0.3</v>
      </c>
      <c r="W2" s="4">
        <v>0.41</v>
      </c>
      <c r="X2" s="4">
        <v>0.35</v>
      </c>
      <c r="Y2" s="3"/>
      <c r="Z2" s="3"/>
      <c r="AA2" s="3"/>
      <c r="AB2" s="3"/>
    </row>
    <row r="3">
      <c r="A3" s="1" t="s">
        <v>24</v>
      </c>
      <c r="B3" s="1" t="s">
        <v>25</v>
      </c>
      <c r="C3" s="1">
        <v>8.0</v>
      </c>
      <c r="D3" s="1" t="s">
        <v>26</v>
      </c>
      <c r="E3" s="1">
        <v>29.0</v>
      </c>
      <c r="F3" s="1">
        <v>12.0</v>
      </c>
      <c r="G3" s="1">
        <v>84.0</v>
      </c>
      <c r="H3" s="1">
        <v>1319.0</v>
      </c>
      <c r="I3" s="1">
        <v>15.7</v>
      </c>
      <c r="J3" s="1">
        <v>78.0</v>
      </c>
      <c r="K3" s="1">
        <v>8.0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2">
        <v>1.0</v>
      </c>
      <c r="R3" s="3">
        <v>22.1</v>
      </c>
      <c r="S3" s="3">
        <v>76.0</v>
      </c>
      <c r="T3" s="3">
        <v>19.4</v>
      </c>
      <c r="U3" s="4">
        <v>0.32</v>
      </c>
      <c r="V3" s="4">
        <v>0.44</v>
      </c>
      <c r="W3" s="4">
        <v>0.44</v>
      </c>
      <c r="X3" s="4">
        <v>0.44</v>
      </c>
      <c r="Y3" s="3"/>
      <c r="Z3" s="3"/>
      <c r="AA3" s="3"/>
      <c r="AB3" s="3"/>
    </row>
    <row r="4">
      <c r="A4" s="1" t="s">
        <v>27</v>
      </c>
      <c r="B4" s="1" t="s">
        <v>28</v>
      </c>
      <c r="C4" s="1">
        <v>19.0</v>
      </c>
      <c r="D4" s="1" t="s">
        <v>29</v>
      </c>
      <c r="E4" s="1">
        <v>0.0</v>
      </c>
      <c r="F4" s="1">
        <v>13.0</v>
      </c>
      <c r="G4" s="1">
        <v>74.0</v>
      </c>
      <c r="H4" s="1">
        <v>1151.0</v>
      </c>
      <c r="I4" s="1">
        <v>15.6</v>
      </c>
      <c r="J4" s="1">
        <v>69.0</v>
      </c>
      <c r="K4" s="1">
        <v>10.0</v>
      </c>
      <c r="L4" s="1">
        <v>11.0</v>
      </c>
      <c r="M4" s="1">
        <v>87.0</v>
      </c>
      <c r="N4" s="1">
        <v>7.9</v>
      </c>
      <c r="O4" s="1">
        <v>27.0</v>
      </c>
      <c r="P4" s="1">
        <v>2.0</v>
      </c>
      <c r="Q4" s="2">
        <v>1.0</v>
      </c>
      <c r="R4" s="3">
        <v>22.5</v>
      </c>
      <c r="S4" s="3">
        <v>73.0</v>
      </c>
      <c r="T4" s="3">
        <v>19.9</v>
      </c>
      <c r="U4" s="4">
        <v>0.27</v>
      </c>
      <c r="V4" s="4">
        <v>0.3</v>
      </c>
      <c r="W4" s="4">
        <v>0.24</v>
      </c>
      <c r="X4" s="4">
        <v>0.26</v>
      </c>
      <c r="Y4" s="3"/>
      <c r="Z4" s="3"/>
      <c r="AA4" s="3"/>
      <c r="AB4" s="3"/>
    </row>
    <row r="5">
      <c r="A5" s="1" t="s">
        <v>30</v>
      </c>
      <c r="B5" s="1" t="s">
        <v>31</v>
      </c>
      <c r="C5" s="1">
        <v>23.0</v>
      </c>
      <c r="D5" s="1" t="s">
        <v>32</v>
      </c>
      <c r="E5" s="1">
        <v>4.0</v>
      </c>
      <c r="F5" s="1">
        <v>16.0</v>
      </c>
      <c r="G5" s="1">
        <v>58.0</v>
      </c>
      <c r="H5" s="1">
        <v>987.0</v>
      </c>
      <c r="I5" s="1">
        <v>17.0</v>
      </c>
      <c r="J5" s="1">
        <v>54.0</v>
      </c>
      <c r="K5" s="1">
        <v>9.0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2">
        <v>0.0</v>
      </c>
      <c r="R5" s="3">
        <v>21.7</v>
      </c>
      <c r="S5" s="3">
        <v>71.0</v>
      </c>
      <c r="T5" s="3">
        <v>20.1</v>
      </c>
      <c r="U5" s="4">
        <v>0.16</v>
      </c>
      <c r="V5" s="4">
        <v>0.22</v>
      </c>
      <c r="W5" s="4">
        <v>0.23</v>
      </c>
      <c r="X5" s="4">
        <v>0.22</v>
      </c>
      <c r="Y5" s="3"/>
      <c r="Z5" s="3"/>
      <c r="AA5" s="3"/>
      <c r="AB5" s="3"/>
    </row>
    <row r="6">
      <c r="A6" s="1" t="s">
        <v>33</v>
      </c>
      <c r="B6" s="1" t="s">
        <v>34</v>
      </c>
      <c r="C6" s="1">
        <v>34.0</v>
      </c>
      <c r="D6" s="1" t="s">
        <v>35</v>
      </c>
      <c r="E6" s="1">
        <v>18.0</v>
      </c>
      <c r="F6" s="1">
        <v>13.0</v>
      </c>
      <c r="G6" s="1">
        <v>87.0</v>
      </c>
      <c r="H6" s="1">
        <v>1183.0</v>
      </c>
      <c r="I6" s="1">
        <v>13.6</v>
      </c>
      <c r="J6" s="1">
        <v>39.0</v>
      </c>
      <c r="K6" s="1">
        <v>9.0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2">
        <v>0.0</v>
      </c>
      <c r="R6" s="3">
        <v>22.4</v>
      </c>
      <c r="S6" s="3">
        <v>76.0</v>
      </c>
      <c r="T6" s="3">
        <v>20.7</v>
      </c>
      <c r="U6" s="4">
        <v>0.34</v>
      </c>
      <c r="V6" s="4">
        <v>0.36</v>
      </c>
      <c r="W6" s="4">
        <v>0.39</v>
      </c>
      <c r="X6" s="4">
        <v>0.37</v>
      </c>
      <c r="Y6" s="3"/>
      <c r="Z6" s="3"/>
      <c r="AA6" s="3"/>
      <c r="AB6" s="3"/>
    </row>
    <row r="7">
      <c r="A7" s="1" t="s">
        <v>36</v>
      </c>
      <c r="B7" s="1" t="s">
        <v>37</v>
      </c>
      <c r="C7" s="1">
        <v>39.0</v>
      </c>
      <c r="D7" s="1" t="s">
        <v>38</v>
      </c>
      <c r="E7" s="1">
        <v>23.0</v>
      </c>
      <c r="F7" s="1">
        <v>13.0</v>
      </c>
      <c r="G7" s="1">
        <v>86.0</v>
      </c>
      <c r="H7" s="1">
        <v>1212.0</v>
      </c>
      <c r="I7" s="1">
        <v>14.1</v>
      </c>
      <c r="J7" s="1">
        <v>56.0</v>
      </c>
      <c r="K7" s="1">
        <v>9.0</v>
      </c>
      <c r="L7" s="1">
        <v>7.0</v>
      </c>
      <c r="M7" s="1">
        <v>31.0</v>
      </c>
      <c r="N7" s="1">
        <v>4.4</v>
      </c>
      <c r="O7" s="1">
        <v>20.0</v>
      </c>
      <c r="P7" s="1">
        <v>0.0</v>
      </c>
      <c r="Q7" s="2">
        <v>0.0</v>
      </c>
      <c r="R7" s="3">
        <v>21.4</v>
      </c>
      <c r="S7" s="3">
        <v>72.0</v>
      </c>
      <c r="T7" s="3">
        <v>18.7</v>
      </c>
      <c r="U7" s="4">
        <v>0.35</v>
      </c>
      <c r="V7" s="4">
        <v>0.35</v>
      </c>
      <c r="W7" s="4">
        <v>0.39</v>
      </c>
      <c r="X7" s="4">
        <v>0.37</v>
      </c>
      <c r="Y7" s="3"/>
      <c r="Z7" s="3"/>
      <c r="AA7" s="3"/>
      <c r="AB7" s="3"/>
    </row>
    <row r="8">
      <c r="A8" s="1" t="s">
        <v>39</v>
      </c>
      <c r="B8" s="1" t="s">
        <v>40</v>
      </c>
      <c r="C8" s="1">
        <v>55.0</v>
      </c>
      <c r="D8" s="1" t="s">
        <v>41</v>
      </c>
      <c r="E8" s="1">
        <v>18.0</v>
      </c>
      <c r="F8" s="1">
        <v>9.0</v>
      </c>
      <c r="G8" s="1">
        <v>60.0</v>
      </c>
      <c r="H8" s="1">
        <v>1030.0</v>
      </c>
      <c r="I8" s="1">
        <v>17.2</v>
      </c>
      <c r="J8" s="1">
        <v>70.0</v>
      </c>
      <c r="K8" s="1">
        <v>7.0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2">
        <v>2.0</v>
      </c>
      <c r="R8" s="3">
        <v>23.2</v>
      </c>
      <c r="S8" s="3">
        <v>75.0</v>
      </c>
      <c r="T8" s="3">
        <v>20.5</v>
      </c>
      <c r="U8" s="4">
        <v>0.29</v>
      </c>
      <c r="V8" s="4">
        <v>0.33</v>
      </c>
      <c r="W8" s="4">
        <v>0.33</v>
      </c>
      <c r="X8" s="4">
        <v>0.32</v>
      </c>
      <c r="Y8" s="3"/>
      <c r="Z8" s="3"/>
      <c r="AA8" s="3"/>
      <c r="AB8" s="3"/>
    </row>
    <row r="9">
      <c r="A9" s="1" t="s">
        <v>42</v>
      </c>
      <c r="B9" s="1" t="s">
        <v>43</v>
      </c>
      <c r="C9" s="1">
        <v>58.0</v>
      </c>
      <c r="D9" s="1" t="s">
        <v>44</v>
      </c>
      <c r="E9" s="1">
        <v>7.0</v>
      </c>
      <c r="F9" s="1">
        <v>12.0</v>
      </c>
      <c r="G9" s="1">
        <v>62.0</v>
      </c>
      <c r="H9" s="1">
        <v>1034.0</v>
      </c>
      <c r="I9" s="1">
        <v>16.7</v>
      </c>
      <c r="J9" s="1">
        <v>52.0</v>
      </c>
      <c r="K9" s="1">
        <v>9.0</v>
      </c>
      <c r="L9" s="1">
        <v>0.0</v>
      </c>
      <c r="M9" s="1">
        <v>7.0</v>
      </c>
      <c r="N9" s="1">
        <v>0.0</v>
      </c>
      <c r="O9" s="1">
        <v>7.0</v>
      </c>
      <c r="P9" s="1">
        <v>0.0</v>
      </c>
      <c r="Q9" s="2">
        <v>0.0</v>
      </c>
      <c r="R9" s="3">
        <v>22.4</v>
      </c>
      <c r="S9" s="3">
        <v>73.0</v>
      </c>
      <c r="T9" s="3">
        <v>21.7</v>
      </c>
      <c r="U9" s="4">
        <v>0.21</v>
      </c>
      <c r="V9" s="4">
        <v>0.28</v>
      </c>
      <c r="W9" s="4">
        <v>0.34</v>
      </c>
      <c r="X9" s="4">
        <v>0.3</v>
      </c>
      <c r="Y9" s="3"/>
      <c r="Z9" s="3"/>
      <c r="AA9" s="3"/>
      <c r="AB9" s="3"/>
    </row>
    <row r="10">
      <c r="A10" s="1" t="s">
        <v>45</v>
      </c>
      <c r="B10" s="1" t="s">
        <v>46</v>
      </c>
      <c r="C10" s="1">
        <v>69.0</v>
      </c>
      <c r="D10" s="1" t="s">
        <v>47</v>
      </c>
      <c r="E10" s="1">
        <v>0.0</v>
      </c>
      <c r="F10" s="1">
        <v>13.0</v>
      </c>
      <c r="G10" s="1">
        <v>70.0</v>
      </c>
      <c r="H10" s="1">
        <v>1198.0</v>
      </c>
      <c r="I10" s="1">
        <v>17.1</v>
      </c>
      <c r="J10" s="1">
        <v>66.0</v>
      </c>
      <c r="K10" s="1">
        <v>14.0</v>
      </c>
      <c r="L10" s="1">
        <v>9.0</v>
      </c>
      <c r="M10" s="1">
        <v>57.0</v>
      </c>
      <c r="N10" s="1">
        <v>6.3</v>
      </c>
      <c r="O10" s="1">
        <v>22.0</v>
      </c>
      <c r="P10" s="1">
        <v>0.0</v>
      </c>
      <c r="Q10" s="2">
        <v>1.0</v>
      </c>
      <c r="R10" s="3">
        <v>22.8</v>
      </c>
      <c r="S10" s="3">
        <v>71.0</v>
      </c>
      <c r="T10" s="3">
        <v>18.1</v>
      </c>
      <c r="U10" s="4">
        <v>0.27</v>
      </c>
      <c r="V10" s="4">
        <v>0.33</v>
      </c>
      <c r="W10" s="4">
        <v>0.42</v>
      </c>
      <c r="X10" s="4">
        <v>0.37</v>
      </c>
      <c r="Y10" s="3"/>
      <c r="Z10" s="3"/>
      <c r="AA10" s="3"/>
      <c r="AB10" s="3"/>
    </row>
    <row r="11">
      <c r="A11" s="1" t="s">
        <v>48</v>
      </c>
      <c r="B11" s="1" t="s">
        <v>49</v>
      </c>
      <c r="C11" s="1">
        <v>70.0</v>
      </c>
      <c r="D11" s="1" t="s">
        <v>50</v>
      </c>
      <c r="E11" s="1">
        <v>1.0</v>
      </c>
      <c r="F11" s="1">
        <v>10.0</v>
      </c>
      <c r="G11" s="1">
        <v>28.0</v>
      </c>
      <c r="H11" s="1">
        <v>545.0</v>
      </c>
      <c r="I11" s="1">
        <v>19.5</v>
      </c>
      <c r="J11" s="1">
        <v>75.0</v>
      </c>
      <c r="K11" s="1">
        <v>3.0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2">
        <v>1.0</v>
      </c>
      <c r="R11" s="3">
        <v>23.0</v>
      </c>
      <c r="S11" s="3">
        <v>76.0</v>
      </c>
      <c r="T11" s="3">
        <v>22.3</v>
      </c>
      <c r="U11" s="4">
        <v>0.14</v>
      </c>
      <c r="V11" s="4">
        <v>0.2</v>
      </c>
      <c r="W11" s="4">
        <v>0.24</v>
      </c>
      <c r="X11" s="4">
        <v>0.22</v>
      </c>
      <c r="Y11" s="3"/>
      <c r="Z11" s="3"/>
      <c r="AA11" s="3"/>
      <c r="AB11" s="3"/>
    </row>
    <row r="12">
      <c r="A12" s="1" t="s">
        <v>51</v>
      </c>
      <c r="B12" s="1" t="s">
        <v>52</v>
      </c>
      <c r="C12" s="1">
        <v>74.0</v>
      </c>
      <c r="D12" s="1" t="s">
        <v>53</v>
      </c>
      <c r="E12" s="1">
        <v>11.0</v>
      </c>
      <c r="F12" s="1">
        <v>12.0</v>
      </c>
      <c r="G12" s="1">
        <v>53.0</v>
      </c>
      <c r="H12" s="1">
        <v>978.0</v>
      </c>
      <c r="I12" s="1">
        <v>18.5</v>
      </c>
      <c r="J12" s="1">
        <v>64.0</v>
      </c>
      <c r="K12" s="1">
        <v>10.0</v>
      </c>
      <c r="L12" s="1">
        <v>5.0</v>
      </c>
      <c r="M12" s="1">
        <v>14.0</v>
      </c>
      <c r="N12" s="1">
        <v>2.8</v>
      </c>
      <c r="O12" s="1">
        <v>7.0</v>
      </c>
      <c r="P12" s="1">
        <v>0.0</v>
      </c>
      <c r="Q12" s="2">
        <v>0.0</v>
      </c>
      <c r="R12" s="3">
        <v>22.4</v>
      </c>
      <c r="S12" s="3">
        <v>74.0</v>
      </c>
      <c r="T12" s="3">
        <v>20.7</v>
      </c>
      <c r="U12" s="4">
        <v>0.27</v>
      </c>
      <c r="V12" s="4">
        <v>0.39</v>
      </c>
      <c r="W12" s="4">
        <v>0.49</v>
      </c>
      <c r="X12" s="4">
        <v>0.43</v>
      </c>
      <c r="Y12" s="3"/>
      <c r="Z12" s="3"/>
      <c r="AA12" s="3"/>
      <c r="AB12" s="3"/>
    </row>
    <row r="13">
      <c r="A13" s="1" t="s">
        <v>54</v>
      </c>
      <c r="B13" s="1" t="s">
        <v>34</v>
      </c>
      <c r="C13" s="1">
        <v>79.0</v>
      </c>
      <c r="D13" s="1" t="s">
        <v>35</v>
      </c>
      <c r="E13" s="1">
        <v>18.0</v>
      </c>
      <c r="F13" s="1">
        <v>14.0</v>
      </c>
      <c r="G13" s="1">
        <v>81.0</v>
      </c>
      <c r="H13" s="1">
        <v>1194.0</v>
      </c>
      <c r="I13" s="1">
        <v>14.7</v>
      </c>
      <c r="J13" s="1">
        <v>75.0</v>
      </c>
      <c r="K13" s="1">
        <v>8.0</v>
      </c>
      <c r="L13" s="1">
        <v>9.0</v>
      </c>
      <c r="M13" s="1">
        <v>38.0</v>
      </c>
      <c r="N13" s="1">
        <v>4.2</v>
      </c>
      <c r="O13" s="1">
        <v>12.0</v>
      </c>
      <c r="P13" s="1">
        <v>0.0</v>
      </c>
      <c r="Q13" s="2">
        <v>2.0</v>
      </c>
      <c r="R13" s="3">
        <v>22.6</v>
      </c>
      <c r="S13" s="3">
        <v>70.0</v>
      </c>
      <c r="T13" s="3">
        <v>21.0</v>
      </c>
      <c r="U13" s="4">
        <v>0.29</v>
      </c>
      <c r="V13" s="4">
        <v>0.33</v>
      </c>
      <c r="W13" s="4">
        <v>0.32</v>
      </c>
      <c r="X13" s="4">
        <v>0.32</v>
      </c>
      <c r="Y13" s="3"/>
      <c r="Z13" s="3"/>
      <c r="AA13" s="3"/>
      <c r="AB13" s="3"/>
    </row>
    <row r="14">
      <c r="A14" s="1" t="s">
        <v>55</v>
      </c>
      <c r="B14" s="1" t="s">
        <v>43</v>
      </c>
      <c r="C14" s="1">
        <v>87.0</v>
      </c>
      <c r="D14" s="1" t="s">
        <v>32</v>
      </c>
      <c r="E14" s="1">
        <v>4.0</v>
      </c>
      <c r="F14" s="1">
        <v>12.0</v>
      </c>
      <c r="G14" s="1">
        <v>60.0</v>
      </c>
      <c r="H14" s="1">
        <v>611.0</v>
      </c>
      <c r="I14" s="1">
        <v>10.2</v>
      </c>
      <c r="J14" s="1">
        <v>75.0</v>
      </c>
      <c r="K14" s="1">
        <v>6.0</v>
      </c>
      <c r="L14" s="1">
        <v>51.0</v>
      </c>
      <c r="M14" s="1">
        <v>322.0</v>
      </c>
      <c r="N14" s="1">
        <v>6.3</v>
      </c>
      <c r="O14" s="1">
        <v>35.0</v>
      </c>
      <c r="P14" s="1">
        <v>6.0</v>
      </c>
      <c r="Q14" s="2">
        <v>0.0</v>
      </c>
      <c r="R14" s="3">
        <v>22.4</v>
      </c>
      <c r="S14" s="3">
        <v>76.0</v>
      </c>
      <c r="T14" s="3">
        <v>22.4</v>
      </c>
      <c r="U14" s="4">
        <v>0.2</v>
      </c>
      <c r="V14" s="4">
        <v>0.16</v>
      </c>
      <c r="W14" s="4">
        <v>0.22</v>
      </c>
      <c r="X14" s="4">
        <v>0.19</v>
      </c>
      <c r="Y14" s="3"/>
      <c r="Z14" s="3"/>
      <c r="AA14" s="3"/>
      <c r="AB14" s="3"/>
    </row>
    <row r="15">
      <c r="A15" s="1" t="s">
        <v>56</v>
      </c>
      <c r="B15" s="1" t="s">
        <v>57</v>
      </c>
      <c r="C15" s="1">
        <v>102.0</v>
      </c>
      <c r="D15" s="1" t="s">
        <v>58</v>
      </c>
      <c r="E15" s="1">
        <v>2.0</v>
      </c>
      <c r="F15" s="1">
        <v>12.0</v>
      </c>
      <c r="G15" s="1">
        <v>96.0</v>
      </c>
      <c r="H15" s="1">
        <v>1124.0</v>
      </c>
      <c r="I15" s="1">
        <v>11.7</v>
      </c>
      <c r="J15" s="1">
        <v>75.0</v>
      </c>
      <c r="K15" s="1">
        <v>9.0</v>
      </c>
      <c r="L15" s="1">
        <v>2.0</v>
      </c>
      <c r="M15" s="1">
        <v>23.0</v>
      </c>
      <c r="N15" s="1">
        <v>11.5</v>
      </c>
      <c r="O15" s="1">
        <v>19.0</v>
      </c>
      <c r="P15" s="1">
        <v>0.0</v>
      </c>
      <c r="Q15" s="2">
        <v>0.0</v>
      </c>
      <c r="R15" s="3">
        <v>22.1</v>
      </c>
      <c r="S15" s="3">
        <v>73.0</v>
      </c>
      <c r="T15" s="3">
        <v>20.5</v>
      </c>
      <c r="U15" s="4">
        <v>0.3</v>
      </c>
      <c r="V15" s="4">
        <v>0.34</v>
      </c>
      <c r="W15" s="4">
        <v>0.43</v>
      </c>
      <c r="X15" s="4">
        <v>0.38</v>
      </c>
      <c r="Y15" s="3"/>
      <c r="Z15" s="3"/>
      <c r="AA15" s="3"/>
      <c r="AB15" s="3"/>
    </row>
    <row r="16">
      <c r="A16" s="1" t="s">
        <v>59</v>
      </c>
      <c r="B16" s="1" t="s">
        <v>60</v>
      </c>
      <c r="C16" s="1">
        <v>103.0</v>
      </c>
      <c r="D16" s="1" t="s">
        <v>61</v>
      </c>
      <c r="E16" s="1">
        <v>16.0</v>
      </c>
      <c r="F16" s="1">
        <v>12.0</v>
      </c>
      <c r="G16" s="1">
        <v>47.0</v>
      </c>
      <c r="H16" s="1">
        <v>689.0</v>
      </c>
      <c r="I16" s="1">
        <v>14.7</v>
      </c>
      <c r="J16" s="1">
        <v>74.0</v>
      </c>
      <c r="K16" s="1">
        <v>6.0</v>
      </c>
      <c r="L16" s="1">
        <v>5.0</v>
      </c>
      <c r="M16" s="1">
        <v>32.0</v>
      </c>
      <c r="N16" s="1">
        <v>6.4</v>
      </c>
      <c r="O16" s="1">
        <v>12.0</v>
      </c>
      <c r="P16" s="1">
        <v>1.0</v>
      </c>
      <c r="Q16" s="2">
        <v>0.0</v>
      </c>
      <c r="R16" s="3">
        <v>22.8</v>
      </c>
      <c r="S16" s="3">
        <v>73.0</v>
      </c>
      <c r="T16" s="3">
        <v>20.1</v>
      </c>
      <c r="U16" s="4">
        <v>0.27</v>
      </c>
      <c r="V16" s="4">
        <v>0.31</v>
      </c>
      <c r="W16" s="4">
        <v>0.31</v>
      </c>
      <c r="X16" s="4">
        <v>0.31</v>
      </c>
      <c r="Y16" s="3"/>
      <c r="Z16" s="3"/>
      <c r="AA16" s="3"/>
      <c r="AB16" s="3"/>
    </row>
    <row r="17">
      <c r="A17" s="1" t="s">
        <v>62</v>
      </c>
      <c r="B17" s="1" t="s">
        <v>63</v>
      </c>
      <c r="C17" s="1">
        <v>108.0</v>
      </c>
      <c r="D17" s="1" t="s">
        <v>44</v>
      </c>
      <c r="E17" s="1">
        <v>7.0</v>
      </c>
      <c r="F17" s="1">
        <v>11.0</v>
      </c>
      <c r="G17" s="1">
        <v>26.0</v>
      </c>
      <c r="H17" s="1">
        <v>661.0</v>
      </c>
      <c r="I17" s="1">
        <v>25.4</v>
      </c>
      <c r="J17" s="1">
        <v>86.0</v>
      </c>
      <c r="K17" s="1">
        <v>6.0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2">
        <v>0.0</v>
      </c>
      <c r="R17" s="3">
        <v>22.4</v>
      </c>
      <c r="S17" s="3">
        <v>77.0</v>
      </c>
      <c r="T17" s="3">
        <v>18.8</v>
      </c>
      <c r="U17" s="4">
        <v>0.13</v>
      </c>
      <c r="V17" s="4">
        <v>0.27</v>
      </c>
      <c r="W17" s="4">
        <v>0.34</v>
      </c>
      <c r="X17" s="4">
        <v>0.3</v>
      </c>
      <c r="Y17" s="3"/>
      <c r="Z17" s="3"/>
      <c r="AA17" s="3"/>
      <c r="AB17" s="3"/>
    </row>
    <row r="18">
      <c r="A18" s="1" t="s">
        <v>64</v>
      </c>
      <c r="B18" s="1" t="s">
        <v>65</v>
      </c>
      <c r="C18" s="1">
        <v>110.0</v>
      </c>
      <c r="D18" s="1" t="s">
        <v>66</v>
      </c>
      <c r="E18" s="1">
        <v>19.0</v>
      </c>
      <c r="F18" s="1">
        <v>14.0</v>
      </c>
      <c r="G18" s="1">
        <v>48.0</v>
      </c>
      <c r="H18" s="1">
        <v>817.0</v>
      </c>
      <c r="I18" s="1">
        <v>17.0</v>
      </c>
      <c r="J18" s="1">
        <v>67.0</v>
      </c>
      <c r="K18" s="1">
        <v>4.0</v>
      </c>
      <c r="L18" s="1">
        <v>5.0</v>
      </c>
      <c r="M18" s="1">
        <v>54.0</v>
      </c>
      <c r="N18" s="1">
        <v>10.8</v>
      </c>
      <c r="O18" s="1">
        <v>30.0</v>
      </c>
      <c r="P18" s="1">
        <v>0.0</v>
      </c>
      <c r="Q18" s="2">
        <v>1.0</v>
      </c>
      <c r="R18" s="3">
        <v>23.5</v>
      </c>
      <c r="S18" s="3">
        <v>72.0</v>
      </c>
      <c r="T18" s="3">
        <v>23.5</v>
      </c>
      <c r="U18" s="4">
        <v>0.14</v>
      </c>
      <c r="V18" s="4">
        <v>0.21</v>
      </c>
      <c r="W18" s="4">
        <v>0.14</v>
      </c>
      <c r="X18" s="4">
        <v>0.17</v>
      </c>
      <c r="Y18" s="3"/>
      <c r="Z18" s="3"/>
      <c r="AA18" s="3"/>
      <c r="AB18" s="3"/>
    </row>
    <row r="19">
      <c r="A19" s="1" t="s">
        <v>67</v>
      </c>
      <c r="B19" s="1" t="s">
        <v>68</v>
      </c>
      <c r="C19" s="1">
        <v>128.0</v>
      </c>
      <c r="D19" s="1" t="s">
        <v>69</v>
      </c>
      <c r="E19" s="1">
        <v>24.0</v>
      </c>
      <c r="F19" s="1">
        <v>11.0</v>
      </c>
      <c r="G19" s="1">
        <v>69.0</v>
      </c>
      <c r="H19" s="1">
        <v>940.0</v>
      </c>
      <c r="I19" s="1">
        <v>13.6</v>
      </c>
      <c r="J19" s="1">
        <v>89.0</v>
      </c>
      <c r="K19" s="1">
        <v>5.0</v>
      </c>
      <c r="L19" s="1">
        <v>3.0</v>
      </c>
      <c r="M19" s="1">
        <v>4.0</v>
      </c>
      <c r="N19" s="1">
        <v>1.3</v>
      </c>
      <c r="O19" s="1">
        <v>3.0</v>
      </c>
      <c r="P19" s="1">
        <v>0.0</v>
      </c>
      <c r="Q19" s="2">
        <v>2.0</v>
      </c>
      <c r="R19" s="3">
        <v>23.0</v>
      </c>
      <c r="S19" s="3">
        <v>70.0</v>
      </c>
      <c r="T19" s="3">
        <v>20.3</v>
      </c>
      <c r="U19" s="4">
        <v>0.24</v>
      </c>
      <c r="V19" s="4">
        <v>0.32</v>
      </c>
      <c r="W19" s="4">
        <v>0.28</v>
      </c>
      <c r="X19" s="4">
        <v>0.3</v>
      </c>
      <c r="Y19" s="3"/>
      <c r="Z19" s="3"/>
      <c r="AA19" s="3"/>
      <c r="AB19" s="3"/>
    </row>
    <row r="20">
      <c r="A20" s="1" t="s">
        <v>70</v>
      </c>
      <c r="B20" s="1" t="s">
        <v>71</v>
      </c>
      <c r="C20" s="1">
        <v>133.0</v>
      </c>
      <c r="D20" s="1" t="s">
        <v>72</v>
      </c>
      <c r="E20" s="1">
        <v>19.0</v>
      </c>
      <c r="F20" s="1">
        <v>13.0</v>
      </c>
      <c r="G20" s="1">
        <v>71.0</v>
      </c>
      <c r="H20" s="1">
        <v>1080.0</v>
      </c>
      <c r="I20" s="1">
        <v>15.2</v>
      </c>
      <c r="J20" s="1">
        <v>71.0</v>
      </c>
      <c r="K20" s="1">
        <v>15.0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2">
        <v>0.0</v>
      </c>
      <c r="R20" s="3">
        <v>22.2</v>
      </c>
      <c r="S20" s="3">
        <v>72.0</v>
      </c>
      <c r="T20" s="3">
        <v>20.5</v>
      </c>
      <c r="U20" s="4">
        <v>0.26</v>
      </c>
      <c r="V20" s="4">
        <v>0.33</v>
      </c>
      <c r="W20" s="4">
        <v>0.43</v>
      </c>
      <c r="X20" s="4">
        <v>0.37</v>
      </c>
      <c r="Y20" s="3"/>
      <c r="Z20" s="3"/>
      <c r="AA20" s="3"/>
      <c r="AB20" s="3"/>
    </row>
    <row r="21">
      <c r="A21" s="1" t="s">
        <v>73</v>
      </c>
      <c r="B21" s="1" t="s">
        <v>74</v>
      </c>
      <c r="C21" s="1">
        <v>136.0</v>
      </c>
      <c r="D21" s="1" t="s">
        <v>61</v>
      </c>
      <c r="E21" s="1">
        <v>16.0</v>
      </c>
      <c r="F21" s="1">
        <v>12.0</v>
      </c>
      <c r="G21" s="1">
        <v>62.0</v>
      </c>
      <c r="H21" s="1">
        <v>1013.0</v>
      </c>
      <c r="I21" s="1">
        <v>16.3</v>
      </c>
      <c r="J21" s="1">
        <v>97.0</v>
      </c>
      <c r="K21" s="1">
        <v>6.0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2">
        <v>0.0</v>
      </c>
      <c r="R21" s="3">
        <v>21.9</v>
      </c>
      <c r="S21" s="3">
        <v>74.0</v>
      </c>
      <c r="T21" s="3">
        <v>20.2</v>
      </c>
      <c r="U21" s="4">
        <v>0.27</v>
      </c>
      <c r="V21" s="4">
        <v>0.36</v>
      </c>
      <c r="W21" s="4">
        <v>0.55</v>
      </c>
      <c r="X21" s="4">
        <v>0.45</v>
      </c>
      <c r="Y21" s="3"/>
      <c r="Z21" s="3"/>
      <c r="AA21" s="3"/>
      <c r="AB21" s="3"/>
    </row>
    <row r="22">
      <c r="A22" s="1" t="s">
        <v>75</v>
      </c>
      <c r="B22" s="1" t="s">
        <v>40</v>
      </c>
      <c r="C22" s="1">
        <v>138.0</v>
      </c>
      <c r="D22" s="1" t="s">
        <v>76</v>
      </c>
      <c r="E22" s="1">
        <v>16.0</v>
      </c>
      <c r="F22" s="1">
        <v>12.0</v>
      </c>
      <c r="G22" s="1">
        <v>49.0</v>
      </c>
      <c r="H22" s="1">
        <v>906.0</v>
      </c>
      <c r="I22" s="1">
        <v>18.5</v>
      </c>
      <c r="J22" s="1">
        <v>75.0</v>
      </c>
      <c r="K22" s="1">
        <v>9.0</v>
      </c>
      <c r="L22" s="1">
        <v>3.0</v>
      </c>
      <c r="M22" s="1">
        <v>20.0</v>
      </c>
      <c r="N22" s="1">
        <v>6.7</v>
      </c>
      <c r="O22" s="1">
        <v>19.0</v>
      </c>
      <c r="P22" s="1">
        <v>0.0</v>
      </c>
      <c r="Q22" s="2">
        <v>0.0</v>
      </c>
      <c r="R22" s="3">
        <v>23.2</v>
      </c>
      <c r="S22" s="3">
        <v>71.0</v>
      </c>
      <c r="T22" s="3">
        <v>22.6</v>
      </c>
      <c r="U22" s="4">
        <v>0.18</v>
      </c>
      <c r="V22" s="4">
        <v>0.22</v>
      </c>
      <c r="W22" s="4">
        <v>0.31</v>
      </c>
      <c r="X22" s="4">
        <v>0.26</v>
      </c>
      <c r="Y22" s="3"/>
      <c r="Z22" s="3"/>
      <c r="AA22" s="3"/>
      <c r="AB22" s="3"/>
    </row>
    <row r="23">
      <c r="A23" s="1" t="s">
        <v>77</v>
      </c>
      <c r="B23" s="1" t="s">
        <v>78</v>
      </c>
      <c r="C23" s="1">
        <v>158.0</v>
      </c>
      <c r="D23" s="1" t="s">
        <v>41</v>
      </c>
      <c r="E23" s="1">
        <v>18.0</v>
      </c>
      <c r="F23" s="1">
        <v>12.0</v>
      </c>
      <c r="G23" s="1">
        <v>50.0</v>
      </c>
      <c r="H23" s="1">
        <v>981.0</v>
      </c>
      <c r="I23" s="1">
        <v>19.6</v>
      </c>
      <c r="J23" s="1">
        <v>67.0</v>
      </c>
      <c r="K23" s="1">
        <v>8.0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2">
        <v>0.0</v>
      </c>
      <c r="R23" s="3">
        <v>22.7</v>
      </c>
      <c r="S23" s="3">
        <v>73.0</v>
      </c>
      <c r="T23" s="3">
        <v>21.1</v>
      </c>
      <c r="U23" s="4">
        <v>0.22</v>
      </c>
      <c r="V23" s="4">
        <v>0.31</v>
      </c>
      <c r="W23" s="4">
        <v>0.3</v>
      </c>
      <c r="X23" s="4">
        <v>0.3</v>
      </c>
      <c r="Y23" s="3"/>
      <c r="Z23" s="3"/>
      <c r="AA23" s="3"/>
      <c r="AB23" s="3"/>
    </row>
    <row r="24">
      <c r="A24" s="1" t="s">
        <v>79</v>
      </c>
      <c r="B24" s="1" t="s">
        <v>80</v>
      </c>
      <c r="C24" s="1">
        <v>166.0</v>
      </c>
      <c r="D24" s="1" t="s">
        <v>81</v>
      </c>
      <c r="E24" s="1">
        <v>34.0</v>
      </c>
      <c r="F24" s="1">
        <v>12.0</v>
      </c>
      <c r="G24" s="1">
        <v>96.0</v>
      </c>
      <c r="H24" s="1">
        <v>1136.0</v>
      </c>
      <c r="I24" s="1">
        <v>11.8</v>
      </c>
      <c r="J24" s="1">
        <v>76.0</v>
      </c>
      <c r="K24" s="1">
        <v>8.0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2">
        <v>0.0</v>
      </c>
      <c r="R24" s="3">
        <v>22.4</v>
      </c>
      <c r="S24" s="3">
        <v>75.0</v>
      </c>
      <c r="T24" s="3">
        <v>17.8</v>
      </c>
      <c r="U24" s="4">
        <v>0.31</v>
      </c>
      <c r="V24" s="4">
        <v>0.31</v>
      </c>
      <c r="W24" s="4">
        <v>0.33</v>
      </c>
      <c r="X24" s="4">
        <v>0.32</v>
      </c>
      <c r="Y24" s="3"/>
      <c r="Z24" s="3"/>
      <c r="AA24" s="3"/>
      <c r="AB24" s="3"/>
    </row>
    <row r="25">
      <c r="A25" s="1" t="s">
        <v>82</v>
      </c>
      <c r="B25" s="1" t="s">
        <v>22</v>
      </c>
      <c r="C25" s="1">
        <v>203.0</v>
      </c>
      <c r="D25" s="1" t="s">
        <v>83</v>
      </c>
      <c r="E25" s="1">
        <v>9.0</v>
      </c>
      <c r="F25" s="1">
        <v>12.0</v>
      </c>
      <c r="G25" s="1">
        <v>108.0</v>
      </c>
      <c r="H25" s="1">
        <v>1168.0</v>
      </c>
      <c r="I25" s="1">
        <v>10.8</v>
      </c>
      <c r="J25" s="1">
        <v>76.0</v>
      </c>
      <c r="K25" s="1">
        <v>8.0</v>
      </c>
      <c r="L25" s="1">
        <v>8.0</v>
      </c>
      <c r="M25" s="1">
        <v>44.0</v>
      </c>
      <c r="N25" s="1">
        <v>5.5</v>
      </c>
      <c r="O25" s="1">
        <v>21.0</v>
      </c>
      <c r="P25" s="1">
        <v>1.0</v>
      </c>
      <c r="Q25" s="2">
        <v>0.0</v>
      </c>
      <c r="R25" s="3">
        <v>23.1</v>
      </c>
      <c r="S25" s="3">
        <v>70.0</v>
      </c>
      <c r="T25" s="3">
        <v>19.4</v>
      </c>
      <c r="U25" s="4">
        <v>0.41</v>
      </c>
      <c r="V25" s="4">
        <v>0.45</v>
      </c>
      <c r="W25" s="4">
        <v>0.42</v>
      </c>
      <c r="X25" s="4">
        <v>0.43</v>
      </c>
      <c r="Y25" s="3"/>
      <c r="Z25" s="3"/>
      <c r="AA25" s="3"/>
      <c r="AB25" s="3"/>
    </row>
    <row r="26">
      <c r="A26" s="1" t="s">
        <v>84</v>
      </c>
      <c r="B26" s="1" t="s">
        <v>22</v>
      </c>
      <c r="C26" s="1">
        <v>208.0</v>
      </c>
      <c r="D26" s="1" t="s">
        <v>26</v>
      </c>
      <c r="E26" s="1">
        <v>29.0</v>
      </c>
      <c r="F26" s="1">
        <v>12.0</v>
      </c>
      <c r="G26" s="1">
        <v>58.0</v>
      </c>
      <c r="H26" s="1">
        <v>567.0</v>
      </c>
      <c r="I26" s="1">
        <v>9.8</v>
      </c>
      <c r="J26" s="1">
        <v>45.0</v>
      </c>
      <c r="K26" s="1">
        <v>6.0</v>
      </c>
      <c r="L26" s="1">
        <v>2.0</v>
      </c>
      <c r="M26" s="1">
        <v>18.0</v>
      </c>
      <c r="N26" s="1">
        <v>9.0</v>
      </c>
      <c r="O26" s="1">
        <v>17.0</v>
      </c>
      <c r="P26" s="1">
        <v>0.0</v>
      </c>
      <c r="Q26" s="2">
        <v>0.0</v>
      </c>
      <c r="R26" s="3">
        <v>22.6</v>
      </c>
      <c r="S26" s="3">
        <v>68.0</v>
      </c>
      <c r="T26" s="3">
        <v>20.0</v>
      </c>
      <c r="U26" s="4">
        <v>0.18</v>
      </c>
      <c r="V26" s="4">
        <v>0.16</v>
      </c>
      <c r="W26" s="4">
        <v>0.21</v>
      </c>
      <c r="X26" s="4">
        <v>0.18</v>
      </c>
      <c r="Y26" s="3"/>
      <c r="Z26" s="3"/>
      <c r="AA26" s="3"/>
      <c r="AB26" s="3"/>
    </row>
    <row r="27">
      <c r="A27" s="1" t="s">
        <v>85</v>
      </c>
      <c r="B27" s="1" t="s">
        <v>86</v>
      </c>
      <c r="C27" s="1">
        <v>235.0</v>
      </c>
      <c r="D27" s="1" t="s">
        <v>29</v>
      </c>
      <c r="E27" s="1">
        <v>0.0</v>
      </c>
      <c r="F27" s="1">
        <v>12.0</v>
      </c>
      <c r="G27" s="1">
        <v>83.0</v>
      </c>
      <c r="H27" s="1">
        <v>898.0</v>
      </c>
      <c r="I27" s="1">
        <v>10.8</v>
      </c>
      <c r="J27" s="1">
        <v>52.0</v>
      </c>
      <c r="K27" s="1">
        <v>10.0</v>
      </c>
      <c r="L27" s="1">
        <v>1.0</v>
      </c>
      <c r="M27" s="1">
        <v>-1.0</v>
      </c>
      <c r="N27" s="1">
        <v>-1.0</v>
      </c>
      <c r="O27" s="1">
        <v>0.0</v>
      </c>
      <c r="P27" s="1">
        <v>0.0</v>
      </c>
      <c r="Q27" s="2">
        <v>1.0</v>
      </c>
      <c r="R27" s="3">
        <v>22.9</v>
      </c>
      <c r="S27" s="3">
        <v>70.0</v>
      </c>
      <c r="T27" s="3">
        <v>19.3</v>
      </c>
      <c r="U27" s="4">
        <v>0.29</v>
      </c>
      <c r="V27" s="4">
        <v>0.27</v>
      </c>
      <c r="W27" s="4">
        <v>0.39</v>
      </c>
      <c r="X27" s="4">
        <v>0.32</v>
      </c>
      <c r="Y27" s="3"/>
      <c r="Z27" s="3"/>
      <c r="AA27" s="3"/>
      <c r="AB27" s="3"/>
    </row>
    <row r="28">
      <c r="A28" s="1" t="s">
        <v>87</v>
      </c>
      <c r="B28" s="1" t="s">
        <v>88</v>
      </c>
      <c r="C28" s="1">
        <v>238.0</v>
      </c>
      <c r="D28" s="1" t="s">
        <v>81</v>
      </c>
      <c r="E28" s="1">
        <v>34.0</v>
      </c>
      <c r="F28" s="1">
        <v>14.0</v>
      </c>
      <c r="G28" s="1">
        <v>89.0</v>
      </c>
      <c r="H28" s="1">
        <v>1481.0</v>
      </c>
      <c r="I28" s="1">
        <v>16.6</v>
      </c>
      <c r="J28" s="1">
        <v>82.0</v>
      </c>
      <c r="K28" s="1">
        <v>8.0</v>
      </c>
      <c r="L28" s="1">
        <v>1.0</v>
      </c>
      <c r="M28" s="1">
        <v>1.0</v>
      </c>
      <c r="N28" s="1">
        <v>1.0</v>
      </c>
      <c r="O28" s="1">
        <v>1.0</v>
      </c>
      <c r="P28" s="1">
        <v>0.0</v>
      </c>
      <c r="Q28" s="2">
        <v>0.0</v>
      </c>
      <c r="R28" s="3">
        <v>23.2</v>
      </c>
      <c r="S28" s="3">
        <v>73.0</v>
      </c>
      <c r="T28" s="3">
        <v>18.6</v>
      </c>
      <c r="U28" s="4">
        <v>0.35</v>
      </c>
      <c r="V28" s="4">
        <v>0.44</v>
      </c>
      <c r="W28" s="4">
        <v>0.47</v>
      </c>
      <c r="X28" s="4">
        <v>0.45</v>
      </c>
      <c r="Y28" s="3"/>
      <c r="Z28" s="3"/>
      <c r="AA28" s="3"/>
      <c r="AB28" s="3"/>
    </row>
    <row r="29">
      <c r="A29" s="1" t="s">
        <v>89</v>
      </c>
      <c r="B29" s="1" t="s">
        <v>57</v>
      </c>
      <c r="C29" s="1">
        <v>240.0</v>
      </c>
      <c r="D29" s="1" t="s">
        <v>90</v>
      </c>
      <c r="E29" s="1">
        <v>17.0</v>
      </c>
      <c r="F29" s="1">
        <v>13.0</v>
      </c>
      <c r="G29" s="1">
        <v>42.0</v>
      </c>
      <c r="H29" s="1">
        <v>666.0</v>
      </c>
      <c r="I29" s="1">
        <v>15.9</v>
      </c>
      <c r="J29" s="1">
        <v>57.0</v>
      </c>
      <c r="K29" s="1">
        <v>5.0</v>
      </c>
      <c r="L29" s="1">
        <v>1.0</v>
      </c>
      <c r="M29" s="1">
        <v>36.0</v>
      </c>
      <c r="N29" s="1">
        <v>36.0</v>
      </c>
      <c r="O29" s="1">
        <v>36.0</v>
      </c>
      <c r="P29" s="1">
        <v>0.0</v>
      </c>
      <c r="Q29" s="2">
        <v>0.0</v>
      </c>
      <c r="R29" s="3">
        <v>22.6</v>
      </c>
      <c r="S29" s="3">
        <v>76.0</v>
      </c>
      <c r="T29" s="3">
        <v>20.0</v>
      </c>
      <c r="U29" s="4">
        <v>0.14</v>
      </c>
      <c r="V29" s="4">
        <v>0.18</v>
      </c>
      <c r="W29" s="4">
        <v>0.19</v>
      </c>
      <c r="X29" s="4">
        <v>0.18</v>
      </c>
      <c r="Y29" s="3"/>
      <c r="Z29" s="3"/>
      <c r="AA29" s="3"/>
      <c r="AB29" s="3"/>
    </row>
    <row r="30">
      <c r="A30" s="1" t="s">
        <v>91</v>
      </c>
      <c r="B30" s="1" t="s">
        <v>92</v>
      </c>
      <c r="C30" s="1">
        <v>242.0</v>
      </c>
      <c r="D30" s="1" t="s">
        <v>93</v>
      </c>
      <c r="E30" s="1">
        <v>39.0</v>
      </c>
      <c r="F30" s="1">
        <v>12.0</v>
      </c>
      <c r="G30" s="1">
        <v>63.0</v>
      </c>
      <c r="H30" s="1">
        <v>751.0</v>
      </c>
      <c r="I30" s="1">
        <v>11.9</v>
      </c>
      <c r="J30" s="1">
        <v>48.0</v>
      </c>
      <c r="K30" s="1">
        <v>8.0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2">
        <v>2.0</v>
      </c>
      <c r="R30" s="3">
        <v>22.5</v>
      </c>
      <c r="S30" s="3">
        <v>71.0</v>
      </c>
      <c r="T30" s="3">
        <v>18.9</v>
      </c>
      <c r="U30" s="4">
        <v>0.28</v>
      </c>
      <c r="V30" s="4">
        <v>0.29</v>
      </c>
      <c r="W30" s="4">
        <v>0.38</v>
      </c>
      <c r="X30" s="4">
        <v>0.33</v>
      </c>
      <c r="Y30" s="3"/>
      <c r="Z30" s="3"/>
      <c r="AA30" s="3"/>
      <c r="AB30" s="3"/>
    </row>
    <row r="31">
      <c r="A31" s="1" t="s">
        <v>94</v>
      </c>
      <c r="B31" s="1" t="s">
        <v>65</v>
      </c>
      <c r="C31" s="1">
        <v>244.0</v>
      </c>
      <c r="D31" s="1" t="s">
        <v>50</v>
      </c>
      <c r="E31" s="1">
        <v>1.0</v>
      </c>
      <c r="F31" s="1">
        <v>12.0</v>
      </c>
      <c r="G31" s="1">
        <v>56.0</v>
      </c>
      <c r="H31" s="1">
        <v>846.0</v>
      </c>
      <c r="I31" s="1">
        <v>15.1</v>
      </c>
      <c r="J31" s="1">
        <v>79.0</v>
      </c>
      <c r="K31" s="1">
        <v>3.0</v>
      </c>
      <c r="L31" s="1">
        <v>7.0</v>
      </c>
      <c r="M31" s="1">
        <v>6.0</v>
      </c>
      <c r="N31" s="1">
        <v>0.9</v>
      </c>
      <c r="O31" s="1">
        <v>18.0</v>
      </c>
      <c r="P31" s="1">
        <v>0.0</v>
      </c>
      <c r="Q31" s="2">
        <v>1.0</v>
      </c>
      <c r="R31" s="3">
        <v>22.5</v>
      </c>
      <c r="S31" s="3">
        <v>70.0</v>
      </c>
      <c r="T31" s="3">
        <v>19.8</v>
      </c>
      <c r="U31" s="4">
        <v>0.24</v>
      </c>
      <c r="V31" s="4">
        <v>0.33</v>
      </c>
      <c r="W31" s="4">
        <v>0.25</v>
      </c>
      <c r="X31" s="4">
        <v>0.29</v>
      </c>
      <c r="Y31" s="3"/>
      <c r="Z31" s="3"/>
      <c r="AA31" s="3"/>
      <c r="AB31" s="3"/>
    </row>
    <row r="32">
      <c r="A32" s="1" t="s">
        <v>95</v>
      </c>
      <c r="B32" s="1" t="s">
        <v>31</v>
      </c>
      <c r="C32" s="1" t="s">
        <v>96</v>
      </c>
      <c r="D32" s="1" t="s">
        <v>97</v>
      </c>
      <c r="E32" s="1">
        <v>16.0</v>
      </c>
      <c r="F32" s="1">
        <v>13.0</v>
      </c>
      <c r="G32" s="1">
        <v>34.0</v>
      </c>
      <c r="H32" s="1">
        <v>540.0</v>
      </c>
      <c r="I32" s="1">
        <v>15.9</v>
      </c>
      <c r="J32" s="1">
        <v>56.0</v>
      </c>
      <c r="K32" s="1">
        <v>5.0</v>
      </c>
      <c r="L32" s="1">
        <v>4.0</v>
      </c>
      <c r="M32" s="1">
        <v>98.0</v>
      </c>
      <c r="N32" s="1">
        <v>24.5</v>
      </c>
      <c r="O32" s="1">
        <v>44.0</v>
      </c>
      <c r="P32" s="1">
        <v>1.0</v>
      </c>
      <c r="Q32" s="2">
        <v>0.0</v>
      </c>
      <c r="R32" s="3">
        <v>21.1</v>
      </c>
      <c r="S32" s="3">
        <v>71.0</v>
      </c>
      <c r="T32" s="3">
        <v>21.1</v>
      </c>
      <c r="U32" s="4">
        <v>0.12</v>
      </c>
      <c r="V32" s="4">
        <v>0.15</v>
      </c>
      <c r="W32" s="4">
        <v>0.15</v>
      </c>
      <c r="X32" s="4">
        <v>0.15</v>
      </c>
      <c r="Y32" s="3"/>
      <c r="Z32" s="3"/>
      <c r="AA32" s="3"/>
      <c r="AB32" s="3"/>
    </row>
    <row r="33">
      <c r="A33" s="1" t="s">
        <v>98</v>
      </c>
      <c r="B33" s="1" t="s">
        <v>37</v>
      </c>
      <c r="C33" s="1" t="s">
        <v>96</v>
      </c>
      <c r="D33" s="1" t="s">
        <v>99</v>
      </c>
      <c r="E33" s="1">
        <v>4.0</v>
      </c>
      <c r="F33" s="1">
        <v>13.0</v>
      </c>
      <c r="G33" s="1">
        <v>60.0</v>
      </c>
      <c r="H33" s="1">
        <v>884.0</v>
      </c>
      <c r="I33" s="1">
        <v>14.7</v>
      </c>
      <c r="J33" s="1">
        <v>70.0</v>
      </c>
      <c r="K33" s="1">
        <v>4.0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2">
        <v>0.0</v>
      </c>
      <c r="R33" s="3">
        <v>23.8</v>
      </c>
      <c r="S33" s="3">
        <v>74.0</v>
      </c>
      <c r="T33" s="3">
        <v>21.2</v>
      </c>
      <c r="U33" s="4">
        <v>0.24</v>
      </c>
      <c r="V33" s="4">
        <v>0.3</v>
      </c>
      <c r="W33" s="4">
        <v>0.29</v>
      </c>
      <c r="X33" s="4">
        <v>0.29</v>
      </c>
      <c r="Y33" s="3"/>
      <c r="Z33" s="3"/>
      <c r="AA33" s="3"/>
      <c r="AB33" s="3"/>
    </row>
    <row r="34">
      <c r="A34" s="1" t="s">
        <v>100</v>
      </c>
      <c r="B34" s="1" t="s">
        <v>101</v>
      </c>
      <c r="C34" s="1" t="s">
        <v>102</v>
      </c>
      <c r="D34" s="1" t="s">
        <v>61</v>
      </c>
      <c r="E34" s="1">
        <v>16.0</v>
      </c>
      <c r="F34" s="1">
        <v>12.0</v>
      </c>
      <c r="G34" s="1">
        <v>69.0</v>
      </c>
      <c r="H34" s="1">
        <v>1127.0</v>
      </c>
      <c r="I34" s="1">
        <v>16.3</v>
      </c>
      <c r="J34" s="1">
        <v>77.0</v>
      </c>
      <c r="K34" s="1">
        <v>11.0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2">
        <v>2.0</v>
      </c>
      <c r="R34" s="3">
        <v>23.0</v>
      </c>
      <c r="S34" s="3">
        <v>70.0</v>
      </c>
      <c r="T34" s="3">
        <v>21.4</v>
      </c>
      <c r="U34" s="4">
        <v>0.23</v>
      </c>
      <c r="V34" s="4">
        <v>0.27</v>
      </c>
      <c r="W34" s="4">
        <v>0.29</v>
      </c>
      <c r="X34" s="4">
        <v>0.28</v>
      </c>
      <c r="Y34" s="3"/>
      <c r="Z34" s="3"/>
      <c r="AA34" s="3"/>
      <c r="AB34" s="3"/>
    </row>
    <row r="35">
      <c r="A35" s="1" t="s">
        <v>103</v>
      </c>
      <c r="B35" s="1" t="s">
        <v>104</v>
      </c>
      <c r="C35" s="1" t="s">
        <v>96</v>
      </c>
      <c r="D35" s="1" t="s">
        <v>76</v>
      </c>
      <c r="E35" s="1">
        <v>16.0</v>
      </c>
      <c r="F35" s="1">
        <v>13.0</v>
      </c>
      <c r="G35" s="1">
        <v>44.0</v>
      </c>
      <c r="H35" s="1">
        <v>878.0</v>
      </c>
      <c r="I35" s="1">
        <v>20.0</v>
      </c>
      <c r="J35" s="1">
        <v>74.0</v>
      </c>
      <c r="K35" s="1">
        <v>12.0</v>
      </c>
      <c r="L35" s="1">
        <v>12.0</v>
      </c>
      <c r="M35" s="1">
        <v>23.0</v>
      </c>
      <c r="N35" s="1">
        <v>1.9</v>
      </c>
      <c r="O35" s="1">
        <v>8.0</v>
      </c>
      <c r="P35" s="1">
        <v>1.0</v>
      </c>
      <c r="Q35" s="2">
        <v>2.0</v>
      </c>
      <c r="R35" s="3">
        <v>23.9</v>
      </c>
      <c r="S35" s="3">
        <v>76.0</v>
      </c>
      <c r="T35" s="3">
        <v>19.2</v>
      </c>
      <c r="U35" s="4">
        <v>0.27</v>
      </c>
      <c r="V35" s="4">
        <v>0.42</v>
      </c>
      <c r="W35" s="4">
        <v>0.8</v>
      </c>
      <c r="X35" s="4">
        <v>0.6</v>
      </c>
      <c r="Y35" s="3"/>
      <c r="Z35" s="3"/>
      <c r="AA35" s="3"/>
      <c r="AB35" s="3"/>
    </row>
    <row r="36">
      <c r="A36" s="1" t="s">
        <v>105</v>
      </c>
      <c r="B36" s="1" t="s">
        <v>106</v>
      </c>
      <c r="C36" s="1" t="s">
        <v>96</v>
      </c>
      <c r="D36" s="1" t="s">
        <v>107</v>
      </c>
      <c r="E36" s="1">
        <v>10.0</v>
      </c>
      <c r="F36" s="1">
        <v>12.0</v>
      </c>
      <c r="G36" s="1">
        <v>61.0</v>
      </c>
      <c r="H36" s="1">
        <v>923.0</v>
      </c>
      <c r="I36" s="1">
        <v>15.1</v>
      </c>
      <c r="J36" s="1">
        <v>51.0</v>
      </c>
      <c r="K36" s="1">
        <v>8.0</v>
      </c>
      <c r="L36" s="1">
        <v>1.0</v>
      </c>
      <c r="M36" s="1">
        <v>3.0</v>
      </c>
      <c r="N36" s="1">
        <v>3.0</v>
      </c>
      <c r="O36" s="1">
        <v>3.0</v>
      </c>
      <c r="P36" s="1">
        <v>0.0</v>
      </c>
      <c r="Q36" s="2">
        <v>0.0</v>
      </c>
      <c r="R36" s="3">
        <v>23.8</v>
      </c>
      <c r="S36" s="3">
        <v>73.0</v>
      </c>
      <c r="T36" s="3">
        <v>22.2</v>
      </c>
      <c r="U36" s="4">
        <v>0.18</v>
      </c>
      <c r="V36" s="4">
        <v>0.23</v>
      </c>
      <c r="W36" s="4">
        <v>0.3</v>
      </c>
      <c r="X36" s="4">
        <v>0.26</v>
      </c>
      <c r="Y36" s="3"/>
      <c r="Z36" s="3"/>
      <c r="AA36" s="3"/>
      <c r="AB36" s="3"/>
    </row>
    <row r="37">
      <c r="A37" s="1" t="s">
        <v>108</v>
      </c>
      <c r="B37" s="1" t="s">
        <v>109</v>
      </c>
      <c r="C37" s="1" t="s">
        <v>96</v>
      </c>
      <c r="D37" s="1" t="s">
        <v>110</v>
      </c>
      <c r="E37" s="1">
        <v>2.0</v>
      </c>
      <c r="F37" s="1">
        <v>12.0</v>
      </c>
      <c r="G37" s="1">
        <v>104.0</v>
      </c>
      <c r="H37" s="1">
        <v>1382.0</v>
      </c>
      <c r="I37" s="1">
        <v>13.3</v>
      </c>
      <c r="J37" s="1">
        <v>45.0</v>
      </c>
      <c r="K37" s="1">
        <v>16.0</v>
      </c>
      <c r="L37" s="1">
        <v>1.0</v>
      </c>
      <c r="M37" s="1">
        <v>-9.0</v>
      </c>
      <c r="N37" s="1">
        <v>-9.0</v>
      </c>
      <c r="O37" s="1">
        <v>0.0</v>
      </c>
      <c r="P37" s="1">
        <v>0.0</v>
      </c>
      <c r="Q37" s="2">
        <v>3.0</v>
      </c>
      <c r="R37" s="3">
        <v>24.7</v>
      </c>
      <c r="S37" s="3">
        <v>75.0</v>
      </c>
      <c r="T37" s="3">
        <v>23.1</v>
      </c>
      <c r="U37" s="4">
        <v>0.36</v>
      </c>
      <c r="V37" s="4">
        <v>0.36</v>
      </c>
      <c r="W37" s="4">
        <v>0.56</v>
      </c>
      <c r="X37" s="4">
        <v>0.45</v>
      </c>
      <c r="Y37" s="3"/>
      <c r="Z37" s="3"/>
      <c r="AA37" s="3"/>
      <c r="AB37" s="3"/>
    </row>
    <row r="38">
      <c r="A38" s="1" t="s">
        <v>111</v>
      </c>
      <c r="B38" s="1" t="s">
        <v>68</v>
      </c>
      <c r="C38" s="1" t="s">
        <v>96</v>
      </c>
      <c r="D38" s="1" t="s">
        <v>112</v>
      </c>
      <c r="E38" s="1">
        <v>0.0</v>
      </c>
      <c r="F38" s="1">
        <v>10.0</v>
      </c>
      <c r="G38" s="1">
        <v>38.0</v>
      </c>
      <c r="H38" s="1">
        <v>667.0</v>
      </c>
      <c r="I38" s="1">
        <v>17.6</v>
      </c>
      <c r="J38" s="1">
        <v>84.0</v>
      </c>
      <c r="K38" s="1">
        <v>8.0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2">
        <v>0.0</v>
      </c>
      <c r="R38" s="3">
        <v>24.3</v>
      </c>
      <c r="S38" s="3">
        <v>77.0</v>
      </c>
      <c r="T38" s="3">
        <v>21.6</v>
      </c>
      <c r="U38" s="4">
        <v>0.24</v>
      </c>
      <c r="V38" s="4">
        <v>0.33</v>
      </c>
      <c r="W38" s="4">
        <v>0.45</v>
      </c>
      <c r="X38" s="4">
        <v>0.39</v>
      </c>
      <c r="Y38" s="3"/>
      <c r="Z38" s="3"/>
      <c r="AA38" s="3"/>
      <c r="AB38" s="3"/>
    </row>
    <row r="39">
      <c r="A39" s="1" t="s">
        <v>113</v>
      </c>
      <c r="B39" s="1" t="s">
        <v>86</v>
      </c>
      <c r="C39" s="1" t="s">
        <v>96</v>
      </c>
      <c r="D39" s="1" t="s">
        <v>107</v>
      </c>
      <c r="E39" s="1">
        <v>10.0</v>
      </c>
      <c r="F39" s="1">
        <v>13.0</v>
      </c>
      <c r="G39" s="1">
        <v>45.0</v>
      </c>
      <c r="H39" s="1">
        <v>718.0</v>
      </c>
      <c r="I39" s="1">
        <v>16.0</v>
      </c>
      <c r="J39" s="1">
        <v>59.0</v>
      </c>
      <c r="K39" s="1">
        <v>5.0</v>
      </c>
      <c r="L39" s="1">
        <v>2.0</v>
      </c>
      <c r="M39" s="1">
        <v>22.0</v>
      </c>
      <c r="N39" s="1">
        <v>11.0</v>
      </c>
      <c r="O39" s="1">
        <v>21.0</v>
      </c>
      <c r="P39" s="1">
        <v>0.0</v>
      </c>
      <c r="Q39" s="2">
        <v>1.0</v>
      </c>
      <c r="R39" s="3">
        <v>23.7</v>
      </c>
      <c r="S39" s="3">
        <v>74.0</v>
      </c>
      <c r="T39" s="3">
        <v>23.7</v>
      </c>
      <c r="U39" s="4">
        <v>0.14</v>
      </c>
      <c r="V39" s="4">
        <v>0.2</v>
      </c>
      <c r="W39" s="4">
        <v>0.18</v>
      </c>
      <c r="X39" s="4">
        <v>0.18</v>
      </c>
      <c r="Y39" s="3"/>
      <c r="Z39" s="3"/>
      <c r="AA39" s="3"/>
      <c r="AB39" s="3"/>
    </row>
    <row r="40">
      <c r="A40" s="1" t="s">
        <v>114</v>
      </c>
      <c r="B40" s="1" t="s">
        <v>60</v>
      </c>
      <c r="C40" s="1" t="s">
        <v>96</v>
      </c>
      <c r="D40" s="1" t="s">
        <v>72</v>
      </c>
      <c r="E40" s="1">
        <v>19.0</v>
      </c>
      <c r="F40" s="1">
        <v>12.0</v>
      </c>
      <c r="G40" s="1">
        <v>70.0</v>
      </c>
      <c r="H40" s="1">
        <v>866.0</v>
      </c>
      <c r="I40" s="1">
        <v>12.4</v>
      </c>
      <c r="J40" s="1">
        <v>39.0</v>
      </c>
      <c r="K40" s="1">
        <v>7.0</v>
      </c>
      <c r="L40" s="1">
        <v>4.0</v>
      </c>
      <c r="M40" s="1">
        <v>23.0</v>
      </c>
      <c r="N40" s="1">
        <v>5.8</v>
      </c>
      <c r="O40" s="1">
        <v>9.0</v>
      </c>
      <c r="P40" s="1">
        <v>0.0</v>
      </c>
      <c r="Q40" s="2">
        <v>1.0</v>
      </c>
      <c r="R40" s="3">
        <v>23.7</v>
      </c>
      <c r="S40" s="3">
        <v>73.0</v>
      </c>
      <c r="T40" s="3">
        <v>21.1</v>
      </c>
      <c r="U40" s="4">
        <v>0.26</v>
      </c>
      <c r="V40" s="4">
        <v>0.29</v>
      </c>
      <c r="W40" s="4">
        <v>0.39</v>
      </c>
      <c r="X40" s="4">
        <v>0.33</v>
      </c>
      <c r="Y40" s="3"/>
      <c r="Z40" s="3"/>
      <c r="AA40" s="3"/>
      <c r="AB40" s="3"/>
    </row>
    <row r="41">
      <c r="A41" s="1" t="s">
        <v>115</v>
      </c>
      <c r="B41" s="1" t="s">
        <v>116</v>
      </c>
      <c r="C41" s="1" t="s">
        <v>96</v>
      </c>
      <c r="D41" s="1" t="s">
        <v>26</v>
      </c>
      <c r="E41" s="1">
        <v>29.0</v>
      </c>
      <c r="F41" s="1">
        <v>13.0</v>
      </c>
      <c r="G41" s="1">
        <v>44.0</v>
      </c>
      <c r="H41" s="1">
        <v>900.0</v>
      </c>
      <c r="I41" s="1">
        <v>20.5</v>
      </c>
      <c r="J41" s="1">
        <v>75.0</v>
      </c>
      <c r="K41" s="1">
        <v>8.0</v>
      </c>
      <c r="L41" s="1">
        <v>1.0</v>
      </c>
      <c r="M41" s="1">
        <v>-8.0</v>
      </c>
      <c r="N41" s="1">
        <v>-8.0</v>
      </c>
      <c r="O41" s="1">
        <v>0.0</v>
      </c>
      <c r="P41" s="1">
        <v>0.0</v>
      </c>
      <c r="Q41" s="2">
        <v>0.0</v>
      </c>
      <c r="R41" s="3">
        <v>22.6</v>
      </c>
      <c r="S41" s="3">
        <v>73.0</v>
      </c>
      <c r="T41" s="3">
        <v>19.0</v>
      </c>
      <c r="U41" s="4">
        <v>0.19</v>
      </c>
      <c r="V41" s="4">
        <v>0.27</v>
      </c>
      <c r="W41" s="4">
        <v>0.33</v>
      </c>
      <c r="X41" s="4">
        <v>0.3</v>
      </c>
      <c r="Y41" s="3"/>
      <c r="Z41" s="3"/>
      <c r="AA41" s="3"/>
      <c r="AB41" s="3"/>
    </row>
    <row r="42">
      <c r="A42" s="1" t="s">
        <v>117</v>
      </c>
      <c r="B42" s="1" t="s">
        <v>101</v>
      </c>
      <c r="C42" s="1" t="s">
        <v>96</v>
      </c>
      <c r="D42" s="1" t="s">
        <v>32</v>
      </c>
      <c r="E42" s="1">
        <v>4.0</v>
      </c>
      <c r="F42" s="1">
        <v>11.0</v>
      </c>
      <c r="G42" s="1">
        <v>61.0</v>
      </c>
      <c r="H42" s="1">
        <v>815.0</v>
      </c>
      <c r="I42" s="1">
        <v>13.4</v>
      </c>
      <c r="J42" s="1">
        <v>53.0</v>
      </c>
      <c r="K42" s="1">
        <v>3.0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2">
        <v>0.0</v>
      </c>
      <c r="R42" s="3">
        <v>22.7</v>
      </c>
      <c r="S42" s="3">
        <v>74.0</v>
      </c>
      <c r="T42" s="3">
        <v>20.1</v>
      </c>
      <c r="U42" s="4">
        <v>0.26</v>
      </c>
      <c r="V42" s="4">
        <v>0.31</v>
      </c>
      <c r="W42" s="4">
        <v>0.14</v>
      </c>
      <c r="X42" s="4">
        <v>0.22</v>
      </c>
      <c r="Y42" s="3"/>
      <c r="Z42" s="3"/>
      <c r="AA42" s="3"/>
      <c r="AB42" s="3"/>
    </row>
    <row r="43">
      <c r="A43" s="1" t="s">
        <v>118</v>
      </c>
      <c r="B43" s="1" t="s">
        <v>40</v>
      </c>
      <c r="C43" s="1" t="s">
        <v>96</v>
      </c>
      <c r="D43" s="1" t="s">
        <v>112</v>
      </c>
      <c r="E43" s="1">
        <v>0.0</v>
      </c>
      <c r="F43" s="1">
        <v>12.0</v>
      </c>
      <c r="G43" s="1">
        <v>68.0</v>
      </c>
      <c r="H43" s="1">
        <v>928.0</v>
      </c>
      <c r="I43" s="1">
        <v>13.6</v>
      </c>
      <c r="J43" s="1">
        <v>72.0</v>
      </c>
      <c r="K43" s="1">
        <v>6.0</v>
      </c>
      <c r="L43" s="1">
        <v>3.0</v>
      </c>
      <c r="M43" s="1">
        <v>10.0</v>
      </c>
      <c r="N43" s="1">
        <v>3.3</v>
      </c>
      <c r="O43" s="1">
        <v>9.0</v>
      </c>
      <c r="P43" s="1">
        <v>1.0</v>
      </c>
      <c r="Q43" s="2">
        <v>3.0</v>
      </c>
      <c r="R43" s="3">
        <v>24.1</v>
      </c>
      <c r="S43" s="3">
        <v>73.0</v>
      </c>
      <c r="T43" s="3">
        <v>21.4</v>
      </c>
      <c r="U43" s="4">
        <v>0.26</v>
      </c>
      <c r="V43" s="4">
        <v>0.3</v>
      </c>
      <c r="W43" s="4">
        <v>0.28</v>
      </c>
      <c r="X43" s="4">
        <v>0.29</v>
      </c>
      <c r="Y43" s="3"/>
      <c r="Z43" s="3"/>
      <c r="AA43" s="3"/>
      <c r="AB43" s="3"/>
    </row>
    <row r="44">
      <c r="A44" s="1" t="s">
        <v>119</v>
      </c>
      <c r="B44" s="1" t="s">
        <v>120</v>
      </c>
      <c r="C44" s="1" t="s">
        <v>96</v>
      </c>
      <c r="D44" s="1" t="s">
        <v>35</v>
      </c>
      <c r="E44" s="1">
        <v>18.0</v>
      </c>
      <c r="F44" s="1">
        <v>12.0</v>
      </c>
      <c r="G44" s="1">
        <v>59.0</v>
      </c>
      <c r="H44" s="1">
        <v>831.0</v>
      </c>
      <c r="I44" s="1">
        <v>14.1</v>
      </c>
      <c r="J44" s="1">
        <v>39.0</v>
      </c>
      <c r="K44" s="1">
        <v>8.0</v>
      </c>
      <c r="L44" s="1">
        <v>1.0</v>
      </c>
      <c r="M44" s="1">
        <v>-5.0</v>
      </c>
      <c r="N44" s="1">
        <v>-5.0</v>
      </c>
      <c r="O44" s="1">
        <v>0.0</v>
      </c>
      <c r="P44" s="1">
        <v>0.0</v>
      </c>
      <c r="Q44" s="2">
        <v>0.0</v>
      </c>
      <c r="R44" s="3">
        <v>23.0</v>
      </c>
      <c r="S44" s="3">
        <v>72.0</v>
      </c>
      <c r="T44" s="3">
        <v>20.4</v>
      </c>
      <c r="U44" s="4">
        <v>0.39</v>
      </c>
      <c r="V44" s="4">
        <v>0.48</v>
      </c>
      <c r="W44" s="4">
        <v>0.54</v>
      </c>
      <c r="X44" s="4">
        <v>0.51</v>
      </c>
      <c r="Y44" s="3"/>
      <c r="Z44" s="3"/>
      <c r="AA44" s="3"/>
      <c r="AB44" s="3"/>
    </row>
    <row r="45">
      <c r="A45" s="1" t="s">
        <v>121</v>
      </c>
      <c r="B45" s="1" t="s">
        <v>101</v>
      </c>
      <c r="C45" s="1" t="s">
        <v>96</v>
      </c>
      <c r="D45" s="1" t="s">
        <v>26</v>
      </c>
      <c r="E45" s="1">
        <v>29.0</v>
      </c>
      <c r="F45" s="1">
        <v>13.0</v>
      </c>
      <c r="G45" s="1">
        <v>57.0</v>
      </c>
      <c r="H45" s="1">
        <v>864.0</v>
      </c>
      <c r="I45" s="1">
        <v>15.2</v>
      </c>
      <c r="J45" s="1">
        <v>85.0</v>
      </c>
      <c r="K45" s="1">
        <v>8.0</v>
      </c>
      <c r="L45" s="1">
        <v>1.0</v>
      </c>
      <c r="M45" s="1">
        <v>14.0</v>
      </c>
      <c r="N45" s="1">
        <v>14.0</v>
      </c>
      <c r="O45" s="1">
        <v>14.0</v>
      </c>
      <c r="P45" s="1">
        <v>0.0</v>
      </c>
      <c r="Q45" s="2">
        <v>1.0</v>
      </c>
      <c r="R45" s="3">
        <v>22.2</v>
      </c>
      <c r="S45" s="3">
        <v>71.0</v>
      </c>
      <c r="T45" s="3">
        <v>20.6</v>
      </c>
      <c r="U45" s="4">
        <v>0.2</v>
      </c>
      <c r="V45" s="4">
        <v>0.26</v>
      </c>
      <c r="W45" s="4">
        <v>0.35</v>
      </c>
      <c r="X45" s="4">
        <v>0.3</v>
      </c>
      <c r="Y45" s="3"/>
      <c r="Z45" s="3"/>
      <c r="AA45" s="3"/>
      <c r="AB45" s="3"/>
    </row>
    <row r="46">
      <c r="A46" s="1" t="s">
        <v>122</v>
      </c>
      <c r="B46" s="1" t="s">
        <v>123</v>
      </c>
      <c r="C46" s="1" t="s">
        <v>96</v>
      </c>
      <c r="D46" s="1" t="s">
        <v>112</v>
      </c>
      <c r="E46" s="1">
        <v>0.0</v>
      </c>
      <c r="F46" s="1">
        <v>10.0</v>
      </c>
      <c r="G46" s="1">
        <v>38.0</v>
      </c>
      <c r="H46" s="1">
        <v>510.0</v>
      </c>
      <c r="I46" s="1">
        <v>13.4</v>
      </c>
      <c r="J46" s="1">
        <v>69.0</v>
      </c>
      <c r="K46" s="1">
        <v>3.0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2">
        <v>0.0</v>
      </c>
      <c r="R46" s="3">
        <v>22.4</v>
      </c>
      <c r="S46" s="3">
        <v>75.0</v>
      </c>
      <c r="T46" s="3">
        <v>18.7</v>
      </c>
      <c r="U46" s="4">
        <v>0.16</v>
      </c>
      <c r="V46" s="4">
        <v>0.22</v>
      </c>
      <c r="W46" s="4">
        <v>0.19</v>
      </c>
      <c r="X46" s="4">
        <v>0.2</v>
      </c>
      <c r="Y46" s="3"/>
      <c r="Z46" s="3"/>
      <c r="AA46" s="3"/>
      <c r="AB46" s="3"/>
    </row>
    <row r="47">
      <c r="A47" s="1" t="s">
        <v>124</v>
      </c>
      <c r="B47" s="1" t="s">
        <v>125</v>
      </c>
      <c r="C47" s="1" t="s">
        <v>96</v>
      </c>
      <c r="D47" s="1" t="s">
        <v>69</v>
      </c>
      <c r="E47" s="1">
        <v>24.0</v>
      </c>
      <c r="F47" s="1">
        <v>12.0</v>
      </c>
      <c r="G47" s="1">
        <v>61.0</v>
      </c>
      <c r="H47" s="1">
        <v>1013.0</v>
      </c>
      <c r="I47" s="1">
        <v>16.6</v>
      </c>
      <c r="J47" s="1">
        <v>86.0</v>
      </c>
      <c r="K47" s="1">
        <v>9.0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2">
        <v>0.0</v>
      </c>
      <c r="R47" s="3" t="s">
        <v>126</v>
      </c>
      <c r="S47" s="3">
        <v>74.0</v>
      </c>
      <c r="T47" s="3" t="s">
        <v>126</v>
      </c>
      <c r="U47" s="4">
        <v>0.24</v>
      </c>
      <c r="V47" s="4">
        <v>0.32</v>
      </c>
      <c r="W47" s="4">
        <v>0.38</v>
      </c>
      <c r="X47" s="4">
        <v>0.34</v>
      </c>
      <c r="Y47" s="3"/>
      <c r="Z47" s="3"/>
      <c r="AA47" s="3"/>
      <c r="AB47" s="3"/>
    </row>
    <row r="48">
      <c r="A48" s="1" t="s">
        <v>127</v>
      </c>
      <c r="B48" s="1" t="s">
        <v>128</v>
      </c>
      <c r="C48" s="1" t="s">
        <v>96</v>
      </c>
      <c r="D48" s="1" t="s">
        <v>129</v>
      </c>
      <c r="E48" s="1">
        <v>13.0</v>
      </c>
      <c r="F48" s="1">
        <v>13.0</v>
      </c>
      <c r="G48" s="1">
        <v>69.0</v>
      </c>
      <c r="H48" s="1">
        <v>1083.0</v>
      </c>
      <c r="I48" s="1">
        <v>15.7</v>
      </c>
      <c r="J48" s="1">
        <v>85.0</v>
      </c>
      <c r="K48" s="1">
        <v>4.0</v>
      </c>
      <c r="L48" s="1">
        <v>2.0</v>
      </c>
      <c r="M48" s="1">
        <v>2.0</v>
      </c>
      <c r="N48" s="1">
        <v>1.0</v>
      </c>
      <c r="O48" s="1">
        <v>11.0</v>
      </c>
      <c r="P48" s="1">
        <v>0.0</v>
      </c>
      <c r="Q48" s="2">
        <v>0.0</v>
      </c>
      <c r="R48" s="3">
        <v>22.2</v>
      </c>
      <c r="S48" s="3">
        <v>74.0</v>
      </c>
      <c r="T48" s="3">
        <v>22.2</v>
      </c>
      <c r="U48" s="4">
        <v>0.22</v>
      </c>
      <c r="V48" s="4">
        <v>0.27</v>
      </c>
      <c r="W48" s="4">
        <v>0.12</v>
      </c>
      <c r="X48" s="4">
        <v>0.19</v>
      </c>
      <c r="Y48" s="3"/>
      <c r="Z48" s="3"/>
      <c r="AA48" s="3"/>
      <c r="AB48" s="3"/>
    </row>
    <row r="49">
      <c r="A49" s="1" t="s">
        <v>130</v>
      </c>
      <c r="B49" s="1" t="s">
        <v>49</v>
      </c>
      <c r="C49" s="1" t="s">
        <v>96</v>
      </c>
      <c r="D49" s="1" t="s">
        <v>99</v>
      </c>
      <c r="E49" s="1">
        <v>4.0</v>
      </c>
      <c r="F49" s="1">
        <v>11.0</v>
      </c>
      <c r="G49" s="1">
        <v>78.0</v>
      </c>
      <c r="H49" s="1">
        <v>1140.0</v>
      </c>
      <c r="I49" s="1">
        <v>14.6</v>
      </c>
      <c r="J49" s="1">
        <v>43.0</v>
      </c>
      <c r="K49" s="1">
        <v>1.0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2">
        <v>1.0</v>
      </c>
      <c r="R49" s="3">
        <v>24.5</v>
      </c>
      <c r="S49" s="3">
        <v>76.0</v>
      </c>
      <c r="T49" s="3">
        <v>22.8</v>
      </c>
      <c r="U49" s="4">
        <v>0.36</v>
      </c>
      <c r="V49" s="4">
        <v>0.38</v>
      </c>
      <c r="W49" s="4">
        <v>0.07</v>
      </c>
      <c r="X49" s="4">
        <v>0.22</v>
      </c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131</v>
      </c>
      <c r="B1" s="5" t="s">
        <v>132</v>
      </c>
      <c r="C1" s="5" t="s">
        <v>133</v>
      </c>
      <c r="D1" s="5" t="s">
        <v>134</v>
      </c>
    </row>
    <row r="2">
      <c r="A2" s="5" t="s">
        <v>21</v>
      </c>
      <c r="B2" s="5">
        <v>1.0</v>
      </c>
      <c r="C2" s="5">
        <v>2.0</v>
      </c>
      <c r="D2" s="5" t="s">
        <v>23</v>
      </c>
    </row>
    <row r="3">
      <c r="A3" s="5" t="s">
        <v>24</v>
      </c>
      <c r="B3" s="5">
        <v>1.0</v>
      </c>
      <c r="C3" s="5">
        <v>8.0</v>
      </c>
      <c r="D3" s="5" t="s">
        <v>26</v>
      </c>
    </row>
    <row r="4">
      <c r="A4" s="5" t="s">
        <v>27</v>
      </c>
      <c r="B4" s="5">
        <v>1.0</v>
      </c>
      <c r="C4" s="5">
        <v>19.0</v>
      </c>
      <c r="D4" s="5" t="s">
        <v>135</v>
      </c>
    </row>
    <row r="5">
      <c r="A5" s="5" t="s">
        <v>30</v>
      </c>
      <c r="B5" s="5">
        <v>1.0</v>
      </c>
      <c r="C5" s="5">
        <v>23.0</v>
      </c>
      <c r="D5" s="5" t="s">
        <v>136</v>
      </c>
    </row>
    <row r="6">
      <c r="A6" s="5" t="s">
        <v>33</v>
      </c>
      <c r="B6" s="5">
        <v>2.0</v>
      </c>
      <c r="C6" s="5">
        <v>34.0</v>
      </c>
      <c r="D6" s="5" t="s">
        <v>35</v>
      </c>
    </row>
    <row r="7">
      <c r="A7" s="5" t="s">
        <v>36</v>
      </c>
      <c r="B7" s="5">
        <v>2.0</v>
      </c>
      <c r="C7" s="5">
        <v>39.0</v>
      </c>
      <c r="D7" s="5" t="s">
        <v>38</v>
      </c>
    </row>
    <row r="8">
      <c r="A8" s="5" t="s">
        <v>39</v>
      </c>
      <c r="B8" s="5">
        <v>2.0</v>
      </c>
      <c r="C8" s="5">
        <v>55.0</v>
      </c>
      <c r="D8" s="5" t="s">
        <v>41</v>
      </c>
    </row>
    <row r="9">
      <c r="A9" s="5" t="s">
        <v>42</v>
      </c>
      <c r="B9" s="5">
        <v>2.0</v>
      </c>
      <c r="C9" s="5">
        <v>58.0</v>
      </c>
      <c r="D9" s="5" t="s">
        <v>137</v>
      </c>
    </row>
    <row r="10">
      <c r="A10" s="5" t="s">
        <v>45</v>
      </c>
      <c r="B10" s="5">
        <v>3.0</v>
      </c>
      <c r="C10" s="5">
        <v>69.0</v>
      </c>
      <c r="D10" s="5" t="s">
        <v>138</v>
      </c>
    </row>
    <row r="11">
      <c r="A11" s="5" t="s">
        <v>48</v>
      </c>
      <c r="B11" s="5">
        <v>3.0</v>
      </c>
      <c r="C11" s="5">
        <v>70.0</v>
      </c>
      <c r="D11" s="5" t="s">
        <v>50</v>
      </c>
    </row>
    <row r="12">
      <c r="A12" s="5" t="s">
        <v>51</v>
      </c>
      <c r="B12" s="5">
        <v>3.0</v>
      </c>
      <c r="C12" s="5">
        <v>74.0</v>
      </c>
      <c r="D12" s="5" t="s">
        <v>53</v>
      </c>
    </row>
    <row r="13">
      <c r="A13" s="5" t="s">
        <v>54</v>
      </c>
      <c r="B13" s="5">
        <v>3.0</v>
      </c>
      <c r="C13" s="5">
        <v>79.0</v>
      </c>
      <c r="D13" s="5" t="s">
        <v>35</v>
      </c>
    </row>
    <row r="14">
      <c r="A14" s="5" t="s">
        <v>55</v>
      </c>
      <c r="B14" s="5">
        <v>3.0</v>
      </c>
      <c r="C14" s="5">
        <v>87.0</v>
      </c>
      <c r="D14" s="5" t="s">
        <v>136</v>
      </c>
    </row>
    <row r="15">
      <c r="A15" s="5" t="s">
        <v>56</v>
      </c>
      <c r="B15" s="5">
        <v>3.0</v>
      </c>
      <c r="C15" s="5">
        <v>102.0</v>
      </c>
      <c r="D15" s="5" t="s">
        <v>58</v>
      </c>
    </row>
    <row r="16">
      <c r="A16" s="5" t="s">
        <v>59</v>
      </c>
      <c r="B16" s="5">
        <v>4.0</v>
      </c>
      <c r="C16" s="5">
        <v>103.0</v>
      </c>
      <c r="D16" s="5" t="s">
        <v>61</v>
      </c>
    </row>
    <row r="17">
      <c r="A17" s="5" t="s">
        <v>62</v>
      </c>
      <c r="B17" s="5">
        <v>4.0</v>
      </c>
      <c r="C17" s="5">
        <v>108.0</v>
      </c>
      <c r="D17" s="5" t="s">
        <v>137</v>
      </c>
    </row>
    <row r="18">
      <c r="A18" s="5" t="s">
        <v>64</v>
      </c>
      <c r="B18" s="5">
        <v>4.0</v>
      </c>
      <c r="C18" s="5">
        <v>110.0</v>
      </c>
      <c r="D18" s="5" t="s">
        <v>66</v>
      </c>
    </row>
    <row r="19">
      <c r="A19" s="5" t="s">
        <v>67</v>
      </c>
      <c r="B19" s="5">
        <v>4.0</v>
      </c>
      <c r="C19" s="5">
        <v>128.0</v>
      </c>
      <c r="D19" s="5" t="s">
        <v>69</v>
      </c>
    </row>
    <row r="20">
      <c r="A20" s="5" t="s">
        <v>70</v>
      </c>
      <c r="B20" s="5">
        <v>4.0</v>
      </c>
      <c r="C20" s="5">
        <v>133.0</v>
      </c>
      <c r="D20" s="5" t="s">
        <v>139</v>
      </c>
    </row>
    <row r="21">
      <c r="A21" s="5" t="s">
        <v>73</v>
      </c>
      <c r="B21" s="5">
        <v>4.0</v>
      </c>
      <c r="C21" s="5">
        <v>136.0</v>
      </c>
      <c r="D21" s="5" t="s">
        <v>61</v>
      </c>
    </row>
    <row r="22">
      <c r="A22" s="5" t="s">
        <v>75</v>
      </c>
      <c r="B22" s="5">
        <v>4.0</v>
      </c>
      <c r="C22" s="5">
        <v>138.0</v>
      </c>
      <c r="D22" s="5" t="s">
        <v>140</v>
      </c>
    </row>
    <row r="23">
      <c r="A23" s="5" t="s">
        <v>77</v>
      </c>
      <c r="B23" s="5">
        <v>5.0</v>
      </c>
      <c r="C23" s="5">
        <v>158.0</v>
      </c>
      <c r="D23" s="5" t="s">
        <v>41</v>
      </c>
    </row>
    <row r="24">
      <c r="A24" s="5" t="s">
        <v>79</v>
      </c>
      <c r="B24" s="5">
        <v>5.0</v>
      </c>
      <c r="C24" s="5">
        <v>166.0</v>
      </c>
      <c r="D24" s="5" t="s">
        <v>81</v>
      </c>
    </row>
    <row r="25">
      <c r="A25" s="5" t="s">
        <v>82</v>
      </c>
      <c r="B25" s="5">
        <v>6.0</v>
      </c>
      <c r="C25" s="5">
        <v>203.0</v>
      </c>
      <c r="D25" s="5" t="s">
        <v>83</v>
      </c>
    </row>
    <row r="26">
      <c r="A26" s="5" t="s">
        <v>84</v>
      </c>
      <c r="B26" s="5">
        <v>6.0</v>
      </c>
      <c r="C26" s="5">
        <v>208.0</v>
      </c>
      <c r="D26" s="5" t="s">
        <v>26</v>
      </c>
    </row>
    <row r="27">
      <c r="A27" s="5" t="s">
        <v>85</v>
      </c>
      <c r="B27" s="5">
        <v>7.0</v>
      </c>
      <c r="C27" s="5">
        <v>235.0</v>
      </c>
      <c r="D27" s="5" t="s">
        <v>135</v>
      </c>
    </row>
    <row r="28">
      <c r="A28" s="5" t="s">
        <v>87</v>
      </c>
      <c r="B28" s="5">
        <v>7.0</v>
      </c>
      <c r="C28" s="5">
        <v>238.0</v>
      </c>
      <c r="D28" s="5" t="s">
        <v>81</v>
      </c>
    </row>
    <row r="29">
      <c r="A29" s="5" t="s">
        <v>89</v>
      </c>
      <c r="B29" s="5">
        <v>7.0</v>
      </c>
      <c r="C29" s="5">
        <v>240.0</v>
      </c>
      <c r="D29" s="5" t="s">
        <v>90</v>
      </c>
    </row>
    <row r="30">
      <c r="A30" s="5" t="s">
        <v>91</v>
      </c>
      <c r="B30" s="5">
        <v>7.0</v>
      </c>
      <c r="C30" s="5">
        <v>242.0</v>
      </c>
      <c r="D30" s="5" t="s">
        <v>93</v>
      </c>
    </row>
    <row r="31">
      <c r="A31" s="5" t="s">
        <v>94</v>
      </c>
      <c r="B31" s="5">
        <v>7.0</v>
      </c>
      <c r="C31" s="5">
        <v>244.0</v>
      </c>
      <c r="D31" s="5" t="s">
        <v>50</v>
      </c>
    </row>
    <row r="32">
      <c r="A32" s="5" t="s">
        <v>141</v>
      </c>
      <c r="B32" s="5">
        <v>7.0</v>
      </c>
      <c r="C32" s="5">
        <v>252.0</v>
      </c>
      <c r="D32" s="5" t="s">
        <v>140</v>
      </c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</v>
      </c>
      <c r="B1" s="6" t="s">
        <v>4</v>
      </c>
    </row>
    <row r="2">
      <c r="A2" s="6" t="s">
        <v>142</v>
      </c>
      <c r="B2" s="7">
        <v>10.0</v>
      </c>
    </row>
    <row r="3">
      <c r="A3" s="6" t="s">
        <v>110</v>
      </c>
      <c r="B3" s="7">
        <v>2.0</v>
      </c>
    </row>
    <row r="4">
      <c r="A4" s="6" t="s">
        <v>83</v>
      </c>
      <c r="B4" s="7">
        <v>9.0</v>
      </c>
    </row>
    <row r="5">
      <c r="A5" s="6" t="s">
        <v>90</v>
      </c>
      <c r="B5" s="7">
        <v>17.0</v>
      </c>
    </row>
    <row r="6">
      <c r="A6" s="6" t="s">
        <v>26</v>
      </c>
      <c r="B6" s="7">
        <f>11+5+12+1</f>
        <v>29</v>
      </c>
    </row>
    <row r="7">
      <c r="A7" s="6" t="s">
        <v>38</v>
      </c>
      <c r="B7" s="7">
        <v>23.0</v>
      </c>
    </row>
    <row r="8">
      <c r="A8" s="6" t="s">
        <v>143</v>
      </c>
      <c r="B8" s="7">
        <v>0.0</v>
      </c>
    </row>
    <row r="9">
      <c r="A9" s="6" t="s">
        <v>97</v>
      </c>
      <c r="B9" s="7">
        <f>16</f>
        <v>16</v>
      </c>
    </row>
    <row r="10">
      <c r="A10" s="6" t="s">
        <v>107</v>
      </c>
      <c r="B10" s="7">
        <v>10.0</v>
      </c>
    </row>
    <row r="11">
      <c r="A11" s="6" t="s">
        <v>53</v>
      </c>
      <c r="B11" s="7">
        <v>11.0</v>
      </c>
    </row>
    <row r="12">
      <c r="A12" s="6" t="s">
        <v>50</v>
      </c>
      <c r="B12" s="7">
        <v>1.0</v>
      </c>
    </row>
    <row r="13">
      <c r="A13" s="6" t="s">
        <v>32</v>
      </c>
      <c r="B13" s="7">
        <v>4.0</v>
      </c>
    </row>
    <row r="14">
      <c r="A14" s="6" t="s">
        <v>35</v>
      </c>
      <c r="B14" s="7">
        <v>18.0</v>
      </c>
    </row>
    <row r="15">
      <c r="A15" s="6" t="s">
        <v>144</v>
      </c>
      <c r="B15" s="7">
        <v>0.0</v>
      </c>
    </row>
    <row r="16">
      <c r="A16" s="6" t="s">
        <v>23</v>
      </c>
      <c r="B16" s="7">
        <v>13.0</v>
      </c>
    </row>
    <row r="17">
      <c r="A17" s="6" t="s">
        <v>72</v>
      </c>
      <c r="B17" s="7">
        <f>11+6+2</f>
        <v>19</v>
      </c>
    </row>
    <row r="18">
      <c r="A18" s="6" t="s">
        <v>41</v>
      </c>
      <c r="B18" s="7">
        <v>18.0</v>
      </c>
    </row>
    <row r="19">
      <c r="A19" s="6" t="s">
        <v>93</v>
      </c>
      <c r="B19" s="7">
        <f>13+8+18</f>
        <v>39</v>
      </c>
    </row>
    <row r="20">
      <c r="A20" s="6" t="s">
        <v>44</v>
      </c>
      <c r="B20" s="7">
        <v>7.0</v>
      </c>
    </row>
    <row r="21">
      <c r="A21" s="6" t="s">
        <v>99</v>
      </c>
      <c r="B21" s="7">
        <v>4.0</v>
      </c>
    </row>
    <row r="22">
      <c r="A22" s="6" t="s">
        <v>58</v>
      </c>
      <c r="B22" s="7">
        <v>2.0</v>
      </c>
    </row>
    <row r="23">
      <c r="A23" s="6" t="s">
        <v>47</v>
      </c>
      <c r="B23" s="7">
        <v>0.0</v>
      </c>
    </row>
    <row r="24">
      <c r="A24" s="6" t="s">
        <v>145</v>
      </c>
      <c r="B24" s="7">
        <v>13.0</v>
      </c>
    </row>
    <row r="25">
      <c r="A25" s="6" t="s">
        <v>112</v>
      </c>
      <c r="B25" s="7">
        <v>0.0</v>
      </c>
    </row>
    <row r="26">
      <c r="A26" s="6" t="s">
        <v>66</v>
      </c>
      <c r="B26" s="7">
        <v>19.0</v>
      </c>
    </row>
    <row r="27">
      <c r="A27" s="6" t="s">
        <v>146</v>
      </c>
      <c r="B27" s="7">
        <v>2.0</v>
      </c>
    </row>
    <row r="28">
      <c r="A28" s="6" t="s">
        <v>129</v>
      </c>
      <c r="B28" s="7">
        <v>13.0</v>
      </c>
    </row>
    <row r="29">
      <c r="A29" s="6" t="s">
        <v>81</v>
      </c>
      <c r="B29" s="7">
        <f>1+1+13+19</f>
        <v>34</v>
      </c>
    </row>
    <row r="30">
      <c r="A30" s="6" t="s">
        <v>76</v>
      </c>
      <c r="B30" s="7">
        <v>16.0</v>
      </c>
    </row>
    <row r="31">
      <c r="A31" s="6" t="s">
        <v>29</v>
      </c>
      <c r="B31" s="7">
        <v>0.0</v>
      </c>
    </row>
    <row r="32">
      <c r="A32" s="6" t="s">
        <v>61</v>
      </c>
      <c r="B32" s="7">
        <v>16.0</v>
      </c>
    </row>
    <row r="33">
      <c r="A33" s="6" t="s">
        <v>69</v>
      </c>
      <c r="B33" s="7">
        <f>8+13+3</f>
        <v>24</v>
      </c>
    </row>
  </sheetData>
  <drawing r:id="rId1"/>
</worksheet>
</file>